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ronaldo.ribeirocastellano/Github/tradingview-mcp/Trade/"/>
    </mc:Choice>
  </mc:AlternateContent>
  <xr:revisionPtr revIDLastSave="0" documentId="13_ncr:1_{22E0CF4A-BE04-3F46-9208-87A676FB2ABC}" xr6:coauthVersionLast="47" xr6:coauthVersionMax="47" xr10:uidLastSave="{00000000-0000-0000-0000-000000000000}"/>
  <bookViews>
    <workbookView xWindow="38380" yWindow="600" windowWidth="38400" windowHeight="21000" activeTab="6" xr2:uid="{8A33AAA3-9190-B146-913E-D6E21CAC4598}"/>
  </bookViews>
  <sheets>
    <sheet name="DAY TRADE" sheetId="7" r:id="rId1"/>
    <sheet name="OPERAÇÕES" sheetId="1" r:id="rId2"/>
    <sheet name="CONCEITOS" sheetId="8" r:id="rId3"/>
    <sheet name="PARÂMETROS" sheetId="3" r:id="rId4"/>
    <sheet name="RESULTADOS" sheetId="2" r:id="rId5"/>
    <sheet name="tastytrade_transactions_history" sheetId="6" r:id="rId6"/>
    <sheet name="PIVOT" sheetId="5" r:id="rId7"/>
  </sheets>
  <definedNames>
    <definedName name="ExternalData_1" localSheetId="5" hidden="1">tastytrade_transactions_history!$A$1:$W$122</definedName>
  </definedNames>
  <calcPr calcId="191029"/>
  <pivotCaches>
    <pivotCache cacheId="1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7" i="7" l="1"/>
  <c r="M17" i="7"/>
  <c r="P17" i="7"/>
  <c r="S17" i="7"/>
  <c r="V17" i="7"/>
  <c r="W22" i="7"/>
  <c r="U17" i="7"/>
  <c r="U14" i="7"/>
  <c r="W12" i="7"/>
  <c r="V12" i="7"/>
  <c r="U12" i="7"/>
  <c r="U9" i="7"/>
  <c r="W8" i="7"/>
  <c r="W5" i="7"/>
  <c r="X12" i="1"/>
  <c r="X7" i="1"/>
  <c r="K58" i="5"/>
  <c r="I58" i="5"/>
  <c r="I59" i="5"/>
  <c r="K59" i="5"/>
  <c r="L59" i="5" s="1"/>
  <c r="K33" i="7"/>
  <c r="H33" i="7"/>
  <c r="E33" i="7"/>
  <c r="L9" i="7"/>
  <c r="E5" i="7"/>
  <c r="H5" i="7"/>
  <c r="K5" i="7"/>
  <c r="N5" i="7"/>
  <c r="T5" i="7"/>
  <c r="E8" i="7"/>
  <c r="H8" i="7"/>
  <c r="K8" i="7"/>
  <c r="N8" i="7"/>
  <c r="T8" i="7"/>
  <c r="Q8" i="7"/>
  <c r="Q5" i="7"/>
  <c r="T22" i="7"/>
  <c r="T17" i="7"/>
  <c r="R17" i="7"/>
  <c r="R14" i="7"/>
  <c r="S12" i="7"/>
  <c r="R12" i="7"/>
  <c r="R9" i="7"/>
  <c r="Q12" i="7"/>
  <c r="Q22" i="7"/>
  <c r="Q17" i="7"/>
  <c r="O17" i="7"/>
  <c r="O14" i="7"/>
  <c r="P12" i="7"/>
  <c r="O12" i="7"/>
  <c r="O20" i="7" s="1"/>
  <c r="O9" i="7"/>
  <c r="N22" i="7"/>
  <c r="N17" i="7"/>
  <c r="L17" i="7"/>
  <c r="L14" i="7"/>
  <c r="N12" i="7"/>
  <c r="N20" i="7" s="1"/>
  <c r="M12" i="7"/>
  <c r="M20" i="7" s="1"/>
  <c r="M29" i="7" s="1"/>
  <c r="L12" i="7"/>
  <c r="K12" i="7"/>
  <c r="H12" i="7"/>
  <c r="I12" i="7"/>
  <c r="K17" i="7"/>
  <c r="J16" i="7"/>
  <c r="J17" i="7" s="1"/>
  <c r="H13" i="8"/>
  <c r="I13" i="8" s="1"/>
  <c r="J13" i="8"/>
  <c r="H12" i="8"/>
  <c r="I12" i="8" s="1"/>
  <c r="J12" i="8"/>
  <c r="J11" i="8"/>
  <c r="M9" i="8"/>
  <c r="L9" i="8"/>
  <c r="M8" i="8"/>
  <c r="L8" i="8"/>
  <c r="M7" i="8"/>
  <c r="L7" i="8"/>
  <c r="M6" i="8"/>
  <c r="L6" i="8"/>
  <c r="E17" i="7"/>
  <c r="D17" i="7"/>
  <c r="D12" i="7"/>
  <c r="E11" i="7"/>
  <c r="E10" i="7"/>
  <c r="E12" i="7" s="1"/>
  <c r="E22" i="7"/>
  <c r="C17" i="7"/>
  <c r="C14" i="7"/>
  <c r="C12" i="7"/>
  <c r="C20" i="7" s="1"/>
  <c r="C9" i="7"/>
  <c r="K22" i="7"/>
  <c r="I17" i="7"/>
  <c r="I14" i="7"/>
  <c r="J12" i="7"/>
  <c r="I9" i="7"/>
  <c r="H22" i="7"/>
  <c r="H17" i="7"/>
  <c r="G17" i="7"/>
  <c r="F17" i="7"/>
  <c r="F14" i="7"/>
  <c r="G12" i="7"/>
  <c r="F12" i="7"/>
  <c r="F9" i="7"/>
  <c r="AR11" i="1"/>
  <c r="AR19" i="1" s="1"/>
  <c r="AQ11" i="1"/>
  <c r="AQ19" i="1" s="1"/>
  <c r="AR7" i="1"/>
  <c r="AR4" i="1"/>
  <c r="AO4" i="1"/>
  <c r="AO10" i="1"/>
  <c r="AO9" i="1"/>
  <c r="AR16" i="1"/>
  <c r="AQ16" i="1"/>
  <c r="AP16" i="1"/>
  <c r="AP13" i="1"/>
  <c r="AP11" i="1"/>
  <c r="AP19" i="1" s="1"/>
  <c r="AP8" i="1"/>
  <c r="AM16" i="1"/>
  <c r="AM11" i="1"/>
  <c r="AM19" i="1" s="1"/>
  <c r="AO16" i="1"/>
  <c r="AN16" i="1"/>
  <c r="AM13" i="1"/>
  <c r="AO11" i="1"/>
  <c r="AN11" i="1"/>
  <c r="AM8" i="1"/>
  <c r="AO7" i="1"/>
  <c r="Q28" i="1"/>
  <c r="T28" i="1" s="1"/>
  <c r="Z28" i="1" s="1"/>
  <c r="AC28" i="1" s="1"/>
  <c r="AF28" i="1" s="1"/>
  <c r="AL27" i="1"/>
  <c r="AI27" i="1"/>
  <c r="AL19" i="1"/>
  <c r="AK19" i="1"/>
  <c r="AL26" i="1" s="1"/>
  <c r="AJ19" i="1"/>
  <c r="AL7" i="1"/>
  <c r="AL4" i="1"/>
  <c r="AI16" i="1"/>
  <c r="AH16" i="1"/>
  <c r="AG16" i="1"/>
  <c r="AG13" i="1"/>
  <c r="AI7" i="1"/>
  <c r="AL16" i="1"/>
  <c r="AJ16" i="1"/>
  <c r="AK16" i="1"/>
  <c r="AK10" i="1"/>
  <c r="AK9" i="1"/>
  <c r="AL11" i="1"/>
  <c r="AJ11" i="1"/>
  <c r="AI11" i="1"/>
  <c r="AH11" i="1"/>
  <c r="AG11" i="1"/>
  <c r="AG8" i="1"/>
  <c r="AF16" i="1"/>
  <c r="AD16" i="1"/>
  <c r="AD11" i="1"/>
  <c r="AE16" i="1"/>
  <c r="AD13" i="1"/>
  <c r="AF11" i="1"/>
  <c r="AE11" i="1"/>
  <c r="AD8" i="1"/>
  <c r="AF7" i="1"/>
  <c r="AF4" i="1"/>
  <c r="E33" i="2"/>
  <c r="N13" i="2"/>
  <c r="AC16" i="1"/>
  <c r="AA13" i="1"/>
  <c r="AA8" i="1"/>
  <c r="AA19" i="1"/>
  <c r="AB16" i="1"/>
  <c r="AA15" i="1"/>
  <c r="AC11" i="1"/>
  <c r="AB11" i="1"/>
  <c r="AA10" i="1"/>
  <c r="AC7" i="1"/>
  <c r="AC4" i="1"/>
  <c r="S13" i="2"/>
  <c r="X19" i="1"/>
  <c r="Z16" i="1"/>
  <c r="Y16" i="1"/>
  <c r="X15" i="1"/>
  <c r="X13" i="1"/>
  <c r="Z11" i="1"/>
  <c r="Y11" i="1"/>
  <c r="X10" i="1"/>
  <c r="X8" i="1"/>
  <c r="Z7" i="1"/>
  <c r="Z4" i="1"/>
  <c r="W16" i="1"/>
  <c r="V16" i="1"/>
  <c r="W11" i="1"/>
  <c r="V11" i="1"/>
  <c r="U10" i="1"/>
  <c r="U11" i="1" s="1"/>
  <c r="W7" i="1"/>
  <c r="W4" i="1"/>
  <c r="A3" i="2"/>
  <c r="A4" i="2" s="1"/>
  <c r="A5" i="2" s="1"/>
  <c r="A6" i="2" s="1"/>
  <c r="A7" i="2" s="1"/>
  <c r="A8" i="2" s="1"/>
  <c r="A9" i="2" s="1"/>
  <c r="A10" i="2" s="1"/>
  <c r="A11" i="2" s="1"/>
  <c r="A12" i="2" s="1"/>
  <c r="A13" i="2" s="1"/>
  <c r="A14" i="2" s="1"/>
  <c r="A15" i="2" s="1"/>
  <c r="R3" i="2"/>
  <c r="S3" i="2" s="1"/>
  <c r="S5" i="2" s="1"/>
  <c r="S7" i="2" s="1"/>
  <c r="R13" i="2"/>
  <c r="B3" i="2"/>
  <c r="M2" i="2"/>
  <c r="L2" i="2"/>
  <c r="K2" i="2"/>
  <c r="R19" i="1"/>
  <c r="T16" i="1"/>
  <c r="S16" i="1"/>
  <c r="R15" i="1"/>
  <c r="R13" i="1"/>
  <c r="T11" i="1"/>
  <c r="S11" i="1"/>
  <c r="R10" i="1"/>
  <c r="R8" i="1"/>
  <c r="T7" i="1"/>
  <c r="T4" i="1"/>
  <c r="R2" i="1"/>
  <c r="P11" i="1"/>
  <c r="P16" i="1"/>
  <c r="Q11" i="1"/>
  <c r="Q16" i="1"/>
  <c r="O19" i="1"/>
  <c r="O13" i="1"/>
  <c r="O8" i="1"/>
  <c r="O15" i="1"/>
  <c r="O10" i="1"/>
  <c r="O2" i="1"/>
  <c r="Q7" i="1"/>
  <c r="Q4" i="1"/>
  <c r="L16" i="1"/>
  <c r="L11" i="1"/>
  <c r="K4" i="1"/>
  <c r="K7" i="1"/>
  <c r="N7" i="1"/>
  <c r="N4" i="1"/>
  <c r="N16" i="1"/>
  <c r="M16" i="1"/>
  <c r="N11" i="1"/>
  <c r="M11" i="1"/>
  <c r="H7" i="1"/>
  <c r="H4" i="1"/>
  <c r="E7" i="1"/>
  <c r="E4" i="1"/>
  <c r="I14" i="1"/>
  <c r="I9" i="1"/>
  <c r="K16" i="1"/>
  <c r="J16" i="1"/>
  <c r="K11" i="1"/>
  <c r="J11" i="1"/>
  <c r="D4" i="2" a="1"/>
  <c r="D13" i="2" a="1"/>
  <c r="D3" i="2" a="1"/>
  <c r="E4" i="2" a="1"/>
  <c r="E3" i="2" a="1"/>
  <c r="E12" i="2" a="1"/>
  <c r="E14" i="2" a="1"/>
  <c r="D12" i="2" a="1"/>
  <c r="E5" i="2" a="1"/>
  <c r="E13" i="2" a="1"/>
  <c r="D5" i="2" a="1"/>
  <c r="L58" i="5" l="1"/>
  <c r="W20" i="7"/>
  <c r="P20" i="7"/>
  <c r="P29" i="7" s="1"/>
  <c r="V20" i="7"/>
  <c r="U20" i="7"/>
  <c r="V28" i="7"/>
  <c r="V27" i="7"/>
  <c r="W24" i="7"/>
  <c r="V24" i="7"/>
  <c r="R20" i="7"/>
  <c r="H20" i="7"/>
  <c r="N24" i="7"/>
  <c r="L20" i="7"/>
  <c r="M27" i="7" s="1"/>
  <c r="M31" i="7" s="1"/>
  <c r="S20" i="7"/>
  <c r="S29" i="7" s="1"/>
  <c r="Q20" i="7"/>
  <c r="Q24" i="7" s="1"/>
  <c r="D20" i="7"/>
  <c r="P28" i="7"/>
  <c r="P24" i="7"/>
  <c r="P27" i="7"/>
  <c r="P31" i="7"/>
  <c r="N31" i="7"/>
  <c r="N33" i="7" s="1"/>
  <c r="M28" i="7"/>
  <c r="M24" i="7"/>
  <c r="H24" i="7"/>
  <c r="E20" i="7"/>
  <c r="E24" i="7" s="1"/>
  <c r="K20" i="7"/>
  <c r="F20" i="7"/>
  <c r="J20" i="7"/>
  <c r="J24" i="7" s="1"/>
  <c r="I20" i="7"/>
  <c r="G20" i="7"/>
  <c r="H31" i="7" s="1"/>
  <c r="AO19" i="1"/>
  <c r="AN19" i="1"/>
  <c r="AR26" i="1"/>
  <c r="AQ22" i="1"/>
  <c r="AO26" i="1"/>
  <c r="AN22" i="1"/>
  <c r="W28" i="1"/>
  <c r="AI28" i="1"/>
  <c r="AL28" i="1" s="1"/>
  <c r="AK22" i="1"/>
  <c r="AI19" i="1"/>
  <c r="AG19" i="1"/>
  <c r="AH19" i="1"/>
  <c r="AK11" i="1"/>
  <c r="E14" i="2"/>
  <c r="AJ35" i="1"/>
  <c r="AJ36" i="1" s="1"/>
  <c r="AJ38" i="1" s="1"/>
  <c r="S19" i="1"/>
  <c r="S22" i="1" s="1"/>
  <c r="S24" i="1" s="1"/>
  <c r="S26" i="1" s="1"/>
  <c r="AF19" i="1"/>
  <c r="AE19" i="1"/>
  <c r="AF26" i="1" s="1"/>
  <c r="Q19" i="1"/>
  <c r="D13" i="2"/>
  <c r="E13" i="2"/>
  <c r="E3" i="2"/>
  <c r="E12" i="2"/>
  <c r="D5" i="2"/>
  <c r="E5" i="2"/>
  <c r="D4" i="2"/>
  <c r="E4" i="2"/>
  <c r="D3" i="2"/>
  <c r="D12" i="2"/>
  <c r="AB19" i="1"/>
  <c r="AB22" i="1" s="1"/>
  <c r="AC19" i="1"/>
  <c r="Y19" i="1"/>
  <c r="Z19" i="1"/>
  <c r="V19" i="1"/>
  <c r="W19" i="1"/>
  <c r="V22" i="1"/>
  <c r="U15" i="1"/>
  <c r="U16" i="1" s="1"/>
  <c r="S12" i="2"/>
  <c r="R5" i="2"/>
  <c r="R7" i="2" s="1"/>
  <c r="R14" i="2"/>
  <c r="T19" i="1"/>
  <c r="P19" i="1"/>
  <c r="P22" i="1"/>
  <c r="N19" i="1"/>
  <c r="M19" i="1"/>
  <c r="M22" i="1"/>
  <c r="J19" i="1"/>
  <c r="K19" i="1"/>
  <c r="J22" i="1"/>
  <c r="F9" i="1"/>
  <c r="F10" i="1" s="1"/>
  <c r="H16" i="1"/>
  <c r="G16" i="1"/>
  <c r="H11" i="1"/>
  <c r="G11" i="1"/>
  <c r="C14" i="1"/>
  <c r="C9" i="1"/>
  <c r="C5" i="2" a="1"/>
  <c r="C3" i="2" a="1"/>
  <c r="C14" i="2" a="1"/>
  <c r="C12" i="2" a="1"/>
  <c r="C13" i="2" a="1"/>
  <c r="C4" i="2" a="1"/>
  <c r="J14" i="2" a="1"/>
  <c r="W31" i="7" l="1"/>
  <c r="S28" i="7"/>
  <c r="S27" i="7"/>
  <c r="S31" i="7" s="1"/>
  <c r="S24" i="7"/>
  <c r="V29" i="7"/>
  <c r="V31" i="7" s="1"/>
  <c r="W32" i="7"/>
  <c r="T12" i="7"/>
  <c r="E31" i="7"/>
  <c r="Q31" i="7"/>
  <c r="Q33" i="7" s="1"/>
  <c r="D24" i="7"/>
  <c r="D27" i="7"/>
  <c r="D29" i="7" s="1"/>
  <c r="D31" i="7" s="1"/>
  <c r="D28" i="7"/>
  <c r="N32" i="7"/>
  <c r="K31" i="7"/>
  <c r="K24" i="7"/>
  <c r="E32" i="7"/>
  <c r="J27" i="7"/>
  <c r="G28" i="7"/>
  <c r="G24" i="7"/>
  <c r="G27" i="7"/>
  <c r="H32" i="7"/>
  <c r="G29" i="7"/>
  <c r="AQ24" i="1"/>
  <c r="AQ26" i="1" s="1"/>
  <c r="AQ23" i="1"/>
  <c r="AR27" i="1"/>
  <c r="AN24" i="1"/>
  <c r="AN26" i="1" s="1"/>
  <c r="AN23" i="1"/>
  <c r="AO28" i="1"/>
  <c r="AR28" i="1" s="1"/>
  <c r="AO27" i="1"/>
  <c r="AK24" i="1"/>
  <c r="AK26" i="1" s="1"/>
  <c r="AK23" i="1"/>
  <c r="J14" i="2"/>
  <c r="AE22" i="1"/>
  <c r="AH22" i="1"/>
  <c r="AI26" i="1"/>
  <c r="C14" i="2"/>
  <c r="G14" i="2" s="1"/>
  <c r="H14" i="2" s="1"/>
  <c r="C13" i="2"/>
  <c r="G13" i="2" s="1"/>
  <c r="H13" i="2" s="1"/>
  <c r="C3" i="2"/>
  <c r="G3" i="2" s="1"/>
  <c r="H3" i="2" s="1"/>
  <c r="I3" i="2" s="1"/>
  <c r="C12" i="2"/>
  <c r="G12" i="2" s="1"/>
  <c r="H12" i="2" s="1"/>
  <c r="C5" i="2"/>
  <c r="G5" i="2" s="1"/>
  <c r="H5" i="2" s="1"/>
  <c r="AC26" i="1"/>
  <c r="W26" i="1"/>
  <c r="K26" i="1"/>
  <c r="N26" i="1"/>
  <c r="Q26" i="1"/>
  <c r="Y22" i="1"/>
  <c r="Z26" i="1"/>
  <c r="T26" i="1"/>
  <c r="T27" i="1" s="1"/>
  <c r="AF27" i="1"/>
  <c r="AE23" i="1"/>
  <c r="C4" i="2"/>
  <c r="G4" i="2" s="1"/>
  <c r="H4" i="2" s="1"/>
  <c r="AA13" i="2"/>
  <c r="AB24" i="1"/>
  <c r="AB26" i="1" s="1"/>
  <c r="AB23" i="1"/>
  <c r="V13" i="2"/>
  <c r="V24" i="1"/>
  <c r="V26" i="1" s="1"/>
  <c r="V23" i="1"/>
  <c r="V12" i="2"/>
  <c r="AA12" i="2"/>
  <c r="R15" i="2"/>
  <c r="S23" i="1"/>
  <c r="P24" i="1"/>
  <c r="P26" i="1" s="1"/>
  <c r="P23" i="1"/>
  <c r="M24" i="1"/>
  <c r="M26" i="1" s="1"/>
  <c r="M23" i="1"/>
  <c r="J23" i="1"/>
  <c r="H19" i="1"/>
  <c r="F14" i="1"/>
  <c r="F15" i="1" s="1"/>
  <c r="G19" i="1"/>
  <c r="H26" i="1" s="1"/>
  <c r="E16" i="1"/>
  <c r="E11" i="1"/>
  <c r="D11" i="1"/>
  <c r="D16" i="1"/>
  <c r="J4" i="2" a="1"/>
  <c r="J3" i="2" a="1"/>
  <c r="J12" i="2" a="1"/>
  <c r="J13" i="2" a="1"/>
  <c r="J5" i="2" a="1"/>
  <c r="Q32" i="7" l="1"/>
  <c r="T20" i="7"/>
  <c r="T31" i="7" s="1"/>
  <c r="T24" i="7"/>
  <c r="K32" i="7"/>
  <c r="J28" i="7"/>
  <c r="J29" i="7"/>
  <c r="J31" i="7" s="1"/>
  <c r="G31" i="7"/>
  <c r="AH23" i="1"/>
  <c r="AH24" i="1"/>
  <c r="AH26" i="1" s="1"/>
  <c r="E19" i="1"/>
  <c r="J3" i="2"/>
  <c r="J13" i="2"/>
  <c r="J5" i="2"/>
  <c r="J12" i="2"/>
  <c r="Y24" i="1"/>
  <c r="Y26" i="1" s="1"/>
  <c r="Y23" i="1"/>
  <c r="N27" i="1"/>
  <c r="Z27" i="1"/>
  <c r="AC27" i="1"/>
  <c r="J4" i="2"/>
  <c r="Q27" i="1"/>
  <c r="F13" i="2"/>
  <c r="F12" i="2"/>
  <c r="R16" i="2"/>
  <c r="F5" i="2"/>
  <c r="F4" i="2"/>
  <c r="F3" i="2"/>
  <c r="D19" i="1"/>
  <c r="E26" i="1" s="1"/>
  <c r="G22" i="1"/>
  <c r="C15" i="1"/>
  <c r="C10" i="1"/>
  <c r="T32" i="7" l="1"/>
  <c r="T33" i="7"/>
  <c r="W33" i="7" s="1"/>
  <c r="AB13" i="2"/>
  <c r="AF13" i="2" s="1"/>
  <c r="AG13" i="2" s="1"/>
  <c r="K3" i="2"/>
  <c r="L14" i="2"/>
  <c r="M14" i="2"/>
  <c r="K14" i="2"/>
  <c r="W13" i="2"/>
  <c r="Y13" i="2" s="1"/>
  <c r="X13" i="2"/>
  <c r="AD13" i="2" s="1"/>
  <c r="L3" i="2"/>
  <c r="K13" i="2"/>
  <c r="L12" i="2"/>
  <c r="L13" i="2"/>
  <c r="M3" i="2"/>
  <c r="B4" i="2"/>
  <c r="I4" i="2" s="1"/>
  <c r="M6" i="2"/>
  <c r="L4" i="2"/>
  <c r="M13" i="2"/>
  <c r="AB12" i="2"/>
  <c r="AF12" i="2" s="1"/>
  <c r="AG12" i="2" s="1"/>
  <c r="W12" i="2"/>
  <c r="Y12" i="2" s="1"/>
  <c r="M7" i="2"/>
  <c r="X12" i="2"/>
  <c r="AD12" i="2" s="1"/>
  <c r="M11" i="2"/>
  <c r="L7" i="2"/>
  <c r="L10" i="2"/>
  <c r="L9" i="2"/>
  <c r="L11" i="2"/>
  <c r="L8" i="2"/>
  <c r="L6" i="2"/>
  <c r="M10" i="2"/>
  <c r="M5" i="2"/>
  <c r="M8" i="2"/>
  <c r="L5" i="2"/>
  <c r="M9" i="2"/>
  <c r="M12" i="2"/>
  <c r="K12" i="2"/>
  <c r="M4" i="2"/>
  <c r="K4" i="2"/>
  <c r="K5" i="2"/>
  <c r="R17" i="2"/>
  <c r="G23" i="1"/>
  <c r="G24" i="1"/>
  <c r="G26" i="1" s="1"/>
  <c r="D22" i="1"/>
  <c r="AC13" i="2" l="1"/>
  <c r="Z13" i="2"/>
  <c r="B5" i="2"/>
  <c r="AC12" i="2"/>
  <c r="Z12" i="2"/>
  <c r="R18" i="2"/>
  <c r="D23" i="1"/>
  <c r="D24" i="1"/>
  <c r="D26" i="1" s="1"/>
  <c r="J24" i="1"/>
  <c r="J26" i="1" s="1"/>
  <c r="I10" i="1"/>
  <c r="I11" i="1" s="1"/>
  <c r="I15" i="1"/>
  <c r="I16" i="1" s="1"/>
  <c r="AE13" i="2" l="1"/>
  <c r="B6" i="2"/>
  <c r="B7" i="2" s="1"/>
  <c r="I5" i="2"/>
  <c r="AE12" i="2"/>
  <c r="R19" i="2"/>
  <c r="B8" i="2" l="1"/>
  <c r="B9" i="2" s="1"/>
  <c r="B10" i="2" s="1"/>
  <c r="B11" i="2" s="1"/>
  <c r="B12" i="2" s="1"/>
  <c r="T12" i="2"/>
  <c r="U12" i="2" s="1"/>
  <c r="R20" i="2"/>
  <c r="B13" i="2" l="1"/>
  <c r="I12" i="2"/>
  <c r="R21" i="2"/>
  <c r="B14" i="2" l="1"/>
  <c r="I13" i="2"/>
  <c r="R22" i="2"/>
  <c r="I14" i="2" l="1"/>
  <c r="B15" i="2"/>
  <c r="T13" i="2" s="1"/>
  <c r="R23" i="2"/>
  <c r="R24" i="2" l="1"/>
  <c r="U13" i="2" l="1"/>
  <c r="AD19" i="1"/>
  <c r="D14" i="2" a="1"/>
  <c r="D14" i="2" l="1"/>
  <c r="F14" i="2" s="1"/>
  <c r="AE24" i="1"/>
  <c r="AE26"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558552-32F1-234B-B007-2B7CA5FD2D3E}" keepAlive="1" name="Query - tastytrade_transactions_history_x5WI39325" description="Connection to the 'tastytrade_transactions_history_x5WI39325' query in the workbook." type="5" refreshedVersion="8" background="1" saveData="1">
    <dbPr connection="Provider=Microsoft.Mashup.OleDb.1;Data Source=$Workbook$;Location=tastytrade_transactions_history_x5WI39325;Extended Properties=&quot;&quot;" command="SELECT * FROM [tastytrade_transactions_history_x5WI39325]"/>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<sst xmlns="http://schemas.openxmlformats.org/spreadsheetml/2006/main" count="1799" uniqueCount="324">
  <si>
    <t>SPX</t>
  </si>
  <si>
    <t>TRAVA DE ALTA</t>
  </si>
  <si>
    <t>TRAVA DE BAIXA</t>
  </si>
  <si>
    <t>Delta</t>
  </si>
  <si>
    <t>Max Profit</t>
  </si>
  <si>
    <t>Max Loss</t>
  </si>
  <si>
    <t>Prêmio</t>
  </si>
  <si>
    <t>IRON CONDOR 0DTE</t>
  </si>
  <si>
    <t>Comprar Call</t>
  </si>
  <si>
    <t>Vender Call</t>
  </si>
  <si>
    <t>Vender Put</t>
  </si>
  <si>
    <t>Comprar Put</t>
  </si>
  <si>
    <t>Opção</t>
  </si>
  <si>
    <t>RESULTADO</t>
  </si>
  <si>
    <t>Risco</t>
  </si>
  <si>
    <t>Retorno</t>
  </si>
  <si>
    <t>Quantity</t>
  </si>
  <si>
    <t>Resultado</t>
  </si>
  <si>
    <t>-</t>
  </si>
  <si>
    <t>FECHAMENTO</t>
  </si>
  <si>
    <t>Stop Loss</t>
  </si>
  <si>
    <t>VIX</t>
  </si>
  <si>
    <r>
      <rPr>
        <b/>
        <sz val="14"/>
        <color theme="1"/>
        <rFont val="Aptos Narrow"/>
        <scheme val="minor"/>
      </rPr>
      <t>1. [STOP LOSS]: "Acionar recompra se o spread testado bater 1.0x o crédito. Manter o outro lado aberto."</t>
    </r>
    <r>
      <rPr>
        <sz val="14"/>
        <color theme="1"/>
        <rFont val="Aptos Narrow"/>
        <scheme val="minor"/>
      </rPr>
      <t xml:space="preserve">
</t>
    </r>
    <r>
      <rPr>
        <b/>
        <sz val="14"/>
        <color theme="1"/>
        <rFont val="Aptos Narrow"/>
        <scheme val="minor"/>
      </rPr>
      <t xml:space="preserve">O que significa: </t>
    </r>
    <r>
      <rPr>
        <sz val="14"/>
        <color theme="1"/>
        <rFont val="Aptos Narrow"/>
        <scheme val="minor"/>
      </rPr>
      <t xml:space="preserve">Quando você monta um Iron Condor, você recebe um crédito financeiro total na sua conta (ex: digamos que você recebeu $1.50 no total, $0.80 do lado Put e $0.70 do lado Call).
</t>
    </r>
    <r>
      <rPr>
        <b/>
        <sz val="14"/>
        <color theme="1"/>
        <rFont val="Aptos Narrow"/>
        <scheme val="minor"/>
      </rPr>
      <t xml:space="preserve">Como e quando parar a perda: </t>
    </r>
    <r>
      <rPr>
        <sz val="14"/>
        <color theme="1"/>
        <rFont val="Aptos Narrow"/>
        <scheme val="minor"/>
      </rPr>
      <t xml:space="preserve">Se o mercado começar a cair forte e ameaçar o seu lado Put, as opções de Put vão ficar mais caras. O playbook manda você colocar uma ordem de Stop de Recompra para o lado que está perdendo exatamente no valor do crédito total que você recebeu ($1.50).
</t>
    </r>
    <r>
      <rPr>
        <b/>
        <sz val="14"/>
        <color theme="1"/>
        <rFont val="Aptos Narrow"/>
        <scheme val="minor"/>
      </rPr>
      <t>Por que não fechar tudo?</t>
    </r>
    <r>
      <rPr>
        <sz val="14"/>
        <color theme="1"/>
        <rFont val="Aptos Narrow"/>
        <scheme val="minor"/>
      </rPr>
      <t xml:space="preserve"> É um erro comum fechar a operação inteira no susto. Se o mercado está desabando, o seu lado Call (que aposta na alta) está 100% seguro e "derretendo" a seu favor. O playbook diz para você engolir a perda do lado Put a -$1.50, mas manter o lado Call aberto até ele virar pó. Assim, o lucro residual do lado bom absorve parcialmente o tombo do lado que levou stop.
</t>
    </r>
    <r>
      <rPr>
        <b/>
        <sz val="14"/>
        <color theme="1"/>
        <rFont val="Aptos Narrow"/>
        <scheme val="minor"/>
      </rPr>
      <t xml:space="preserve">2. [TAKE PROFIT]: "Fechar o IC completo quando atingir 80% do ganho (recomprar a 20% do crédito inicial)."
O que significa: </t>
    </r>
    <r>
      <rPr>
        <sz val="14"/>
        <color theme="1"/>
        <rFont val="Aptos Narrow"/>
        <scheme val="minor"/>
      </rPr>
      <t xml:space="preserve">O seu ganho máximo é sempre o prêmio que você recebeu, e isso só ocorre se você segurar até as opções valerem zero. Porém, o playbook provou matematicamente que tentar ganhar 100% é a pior escolha em 0DTE.
</t>
    </r>
    <r>
      <rPr>
        <b/>
        <sz val="14"/>
        <color theme="1"/>
        <rFont val="Aptos Narrow"/>
        <scheme val="minor"/>
      </rPr>
      <t xml:space="preserve">A Matemática: </t>
    </r>
    <r>
      <rPr>
        <sz val="14"/>
        <color theme="1"/>
        <rFont val="Aptos Narrow"/>
        <scheme val="minor"/>
      </rPr>
      <t xml:space="preserve">Se você recebeu $1.50 de entrada, o seu alvo de saída é quando o IC se desvalorizar para apenas $0.30 (que representa 20% do risco original, sobrando 80% de lucro líquido).
</t>
    </r>
    <r>
      <rPr>
        <b/>
        <sz val="14"/>
        <color theme="1"/>
        <rFont val="Aptos Narrow"/>
        <scheme val="minor"/>
      </rPr>
      <t xml:space="preserve">O porquê: </t>
    </r>
    <r>
      <rPr>
        <sz val="14"/>
        <color theme="1"/>
        <rFont val="Aptos Narrow"/>
        <scheme val="minor"/>
      </rPr>
      <t xml:space="preserve">No final do dia as opções 0DTE têm pouco valor tempo (Theta) para te dar, mas têm um risco explosivo de movimento (Gamma). Expor seu capital gigantesco só para "espremer" as últimas gotinhas (os 20% restantes do prêmio) arrisca transformar um trade quase vitorioso em perda total com uma simples notícia de fim de tarde.
</t>
    </r>
    <r>
      <rPr>
        <b/>
        <sz val="14"/>
        <color theme="1"/>
        <rFont val="Aptos Narrow"/>
        <scheme val="minor"/>
      </rPr>
      <t>3. [POWER HOUR]: "Às 14:00 ET, avaliar se consumiu &gt; 0.5% do buffer (Range Consumed). Se sim, CLOSE."</t>
    </r>
    <r>
      <rPr>
        <sz val="14"/>
        <color theme="1"/>
        <rFont val="Aptos Narrow"/>
        <scheme val="minor"/>
      </rPr>
      <t xml:space="preserve">
</t>
    </r>
    <r>
      <rPr>
        <b/>
        <sz val="14"/>
        <color theme="1"/>
        <rFont val="Aptos Narrow"/>
        <scheme val="minor"/>
      </rPr>
      <t xml:space="preserve">O que significa: </t>
    </r>
    <r>
      <rPr>
        <sz val="14"/>
        <color theme="1"/>
        <rFont val="Aptos Narrow"/>
        <scheme val="minor"/>
      </rPr>
      <t xml:space="preserve">As horas finais do SPX (Power Hour) são caóticas. O playbook usa as 14:00 (Horário de Nova York) como um "checkpoint temporal obrigatório".
</t>
    </r>
    <r>
      <rPr>
        <b/>
        <sz val="14"/>
        <color theme="1"/>
        <rFont val="Aptos Narrow"/>
        <scheme val="minor"/>
      </rPr>
      <t xml:space="preserve">A Regra de Ouro: </t>
    </r>
    <r>
      <rPr>
        <sz val="14"/>
        <color theme="1"/>
        <rFont val="Aptos Narrow"/>
        <scheme val="minor"/>
      </rPr>
      <t xml:space="preserve">Digamos que você vendeu a perna a 1.5% de distância de queda da abertura. Se até as 14:00 o mercado já caiu e devorou 0.5% ou mais dessa sua gordura de segurança (o seu buffer), o alerta vermelho acende. As estatísticas mostram que quando o SPX consome esse pedaço do buffer até esse horário, a probabilidade da correção continuar rasgando seu strike na hora final salta para enormes 84%.
</t>
    </r>
    <r>
      <rPr>
        <b/>
        <sz val="14"/>
        <color theme="1"/>
        <rFont val="Aptos Narrow"/>
        <scheme val="minor"/>
      </rPr>
      <t xml:space="preserve">A Ação: </t>
    </r>
    <r>
      <rPr>
        <sz val="14"/>
        <color theme="1"/>
        <rFont val="Aptos Narrow"/>
        <scheme val="minor"/>
      </rPr>
      <t xml:space="preserve">O trader não deve "ter fé" que o preço vai recuar. Se o limite de consumo for estourado até esse pino do relógio, você fecha a posição e aceita o resultado, salvando-se de uma possível catástrofe sistêmica na última hora.
</t>
    </r>
    <r>
      <rPr>
        <b/>
        <sz val="14"/>
        <color theme="1"/>
        <rFont val="Aptos Narrow"/>
        <scheme val="minor"/>
      </rPr>
      <t>4. [TIME EXIT]: Fechar tudo impreterivelmente limit order até 15:30 ET. NUNCA segurar expirando.</t>
    </r>
  </si>
  <si>
    <t>Dias</t>
  </si>
  <si>
    <t>RETORNO</t>
  </si>
  <si>
    <t>IRON C</t>
  </si>
  <si>
    <t>WALLET</t>
  </si>
  <si>
    <t>DATA</t>
  </si>
  <si>
    <t>WING</t>
  </si>
  <si>
    <t>CONTRATOS</t>
  </si>
  <si>
    <t>% WALLET</t>
  </si>
  <si>
    <t>RISCO MAX</t>
  </si>
  <si>
    <t>% RESULTADO</t>
  </si>
  <si>
    <t>MARGEM</t>
  </si>
  <si>
    <t>ACUM</t>
  </si>
  <si>
    <t>% ACERTOS</t>
  </si>
  <si>
    <t>Errei o Stop</t>
  </si>
  <si>
    <t>APORTE</t>
  </si>
  <si>
    <t>TARIFA</t>
  </si>
  <si>
    <t>P/L Médio</t>
  </si>
  <si>
    <t>Dias WIN</t>
  </si>
  <si>
    <t>Dias LOST</t>
  </si>
  <si>
    <t>Dias TOTAL</t>
  </si>
  <si>
    <t>P/L TOTAL</t>
  </si>
  <si>
    <t>POTENCIAL</t>
  </si>
  <si>
    <t>% WIN</t>
  </si>
  <si>
    <t>% LOST</t>
  </si>
  <si>
    <t>P/L ⨱ WIN</t>
  </si>
  <si>
    <t>P/L ⨱ LOST</t>
  </si>
  <si>
    <t>APORTES</t>
  </si>
  <si>
    <t>%</t>
  </si>
  <si>
    <t>WALLET EOP</t>
  </si>
  <si>
    <t>Stop Trigger</t>
  </si>
  <si>
    <t>Stop Limit</t>
  </si>
  <si>
    <t>Entrada</t>
  </si>
  <si>
    <t>Saída</t>
  </si>
  <si>
    <t>Total</t>
  </si>
  <si>
    <t>Date</t>
  </si>
  <si>
    <t>Type</t>
  </si>
  <si>
    <t>Sub Type</t>
  </si>
  <si>
    <t>Action</t>
  </si>
  <si>
    <t>Symbol</t>
  </si>
  <si>
    <t>Instrument Type</t>
  </si>
  <si>
    <t>Description</t>
  </si>
  <si>
    <t>Value</t>
  </si>
  <si>
    <t>Average Price</t>
  </si>
  <si>
    <t>Commissions</t>
  </si>
  <si>
    <t>Fees</t>
  </si>
  <si>
    <t>Multiplier</t>
  </si>
  <si>
    <t>Root Symbol</t>
  </si>
  <si>
    <t>Underlying Symbol</t>
  </si>
  <si>
    <t>Expiration Date</t>
  </si>
  <si>
    <t>Strike Price</t>
  </si>
  <si>
    <t>Call or Put</t>
  </si>
  <si>
    <t>Order #</t>
  </si>
  <si>
    <t>Currency</t>
  </si>
  <si>
    <t>Trade</t>
  </si>
  <si>
    <t>Sell to Close</t>
  </si>
  <si>
    <t>SELL_TO_CLOSE</t>
  </si>
  <si>
    <t>SPXW  260409P06750000</t>
  </si>
  <si>
    <t>Equity Option</t>
  </si>
  <si>
    <t>Sold 2 SPX 04/09/26 Put 6750.00 @ 0.47</t>
  </si>
  <si>
    <t>SPXW</t>
  </si>
  <si>
    <t>PUT</t>
  </si>
  <si>
    <t>USD</t>
  </si>
  <si>
    <t>Buy to Close</t>
  </si>
  <si>
    <t>BUY_TO_CLOSE</t>
  </si>
  <si>
    <t>SPXW  260409P06790000</t>
  </si>
  <si>
    <t>Bought 2 SPX 04/09/26 Put 6790.00 @ 1.07</t>
  </si>
  <si>
    <t>SPXW  260409P06680000</t>
  </si>
  <si>
    <t>Sold 1 SPX 04/09/26 Put 6680.00 @ 0.27</t>
  </si>
  <si>
    <t>SPXW  260409P06720000</t>
  </si>
  <si>
    <t>Bought 1 SPX 04/09/26 Put 6720.00 @ 0.47</t>
  </si>
  <si>
    <t>Buy to Open</t>
  </si>
  <si>
    <t>BUY_TO_OPEN</t>
  </si>
  <si>
    <t>Bought 2 SPX 04/09/26 Put 6750.00 @ 0.82</t>
  </si>
  <si>
    <t>Sell to Open</t>
  </si>
  <si>
    <t>SELL_TO_OPEN</t>
  </si>
  <si>
    <t>Sold 2 SPX 04/09/26 Put 6790.00 @ 3.12</t>
  </si>
  <si>
    <t>SPXW  260409C06880000</t>
  </si>
  <si>
    <t>Sold 1 SPX 04/09/26 Call 6880.00 @ 1.07</t>
  </si>
  <si>
    <t>CALL</t>
  </si>
  <si>
    <t>SPXW  260409C06840000</t>
  </si>
  <si>
    <t>Bought 1 SPX 04/09/26 Call 6840.00 @ 3.72</t>
  </si>
  <si>
    <t>Bought 1 SPX 04/09/26 Call 6880.00 @ 0.70</t>
  </si>
  <si>
    <t>Sold 1 SPX 04/09/26 Call 6840.00 @ 2.55</t>
  </si>
  <si>
    <t>Bought 1 SPX 04/09/26 Call 6880.00 @ 0.62</t>
  </si>
  <si>
    <t>Sold 1 SPX 04/09/26 Call 6840.00 @ 2.27</t>
  </si>
  <si>
    <t>SPXW  260409C06825000</t>
  </si>
  <si>
    <t>Bought 1 SPX 04/09/26 Call 6825.00 @ 3.67</t>
  </si>
  <si>
    <t>SPXW  260409C06875000</t>
  </si>
  <si>
    <t>Sold 1 SPX 04/09/26 Call 6875.00 @ 0.82</t>
  </si>
  <si>
    <t>Bought 2 SPX 04/09/26 Call 6875.00 @ 0.37</t>
  </si>
  <si>
    <t>Sold 2 SPX 04/09/26 Call 6825.00 @ 1.57</t>
  </si>
  <si>
    <t>SPXW  260409C06860000</t>
  </si>
  <si>
    <t>Sold 1 SPX 04/09/26 Call 6860.00 @ 0.47</t>
  </si>
  <si>
    <t>SPXW  260409C06805000</t>
  </si>
  <si>
    <t>Bought 1 SPX 04/09/26 Call 6805.00 @ 3.12</t>
  </si>
  <si>
    <t>Bought 2 SPX 04/09/26 Call 6860.00 @ 0.42</t>
  </si>
  <si>
    <t>Sold 2 SPX 04/09/26 Call 6805.00 @ 1.87</t>
  </si>
  <si>
    <t>Sold 2 SPX 04/09/26 Put 6720.00 @ 2.27</t>
  </si>
  <si>
    <t>Bought 2 SPX 04/09/26 Put 6680.00 @ 0.87</t>
  </si>
  <si>
    <t>SPXW  260408P06680000</t>
  </si>
  <si>
    <t>Sold 2 SPX 04/08/26 Put 6680.00 @ 1.72</t>
  </si>
  <si>
    <t>SPXW  260408P06720000</t>
  </si>
  <si>
    <t>Bought 2 SPX 04/08/26 Put 6720.00 @ 4.62</t>
  </si>
  <si>
    <t>Sold 1 SPX 04/08/26 Put 6720.00 @ 5.93</t>
  </si>
  <si>
    <t>Bought 1 SPX 04/08/26 Put 6680.00 @ 3.03</t>
  </si>
  <si>
    <t>SPXW  260407P06460000</t>
  </si>
  <si>
    <t>Sold 2 SPX 04/07/26 Put 6460.00 @ 0.12</t>
  </si>
  <si>
    <t>SPXW  260407C06660000</t>
  </si>
  <si>
    <t>Sold 2 SPX 04/07/26 Call 6660.00 @ 0.60</t>
  </si>
  <si>
    <t>SPXW  260407P06500000</t>
  </si>
  <si>
    <t>Bought 2 SPX 04/07/26 Put 6500.00 @ 0.22</t>
  </si>
  <si>
    <t>SPXW  260407C06620000</t>
  </si>
  <si>
    <t>Bought 2 SPX 04/07/26 Call 6620.00 @ 2.25</t>
  </si>
  <si>
    <t>Bought 2 SPX 04/07/26 Call 6660.00 @ 1.33</t>
  </si>
  <si>
    <t>Sold 2 SPX 04/07/26 Call 6620.00 @ 3.93</t>
  </si>
  <si>
    <t>Bought 2 SPX 04/07/26 Put 6460.00 @ 1.37</t>
  </si>
  <si>
    <t>Sold 2 SPX 04/07/26 Put 6500.00 @ 4.07</t>
  </si>
  <si>
    <t>Money Movement</t>
  </si>
  <si>
    <t>Deposit</t>
  </si>
  <si>
    <t/>
  </si>
  <si>
    <t>Digital Asset Fund Conversion Deposit of 986.31 USDC/USD</t>
  </si>
  <si>
    <t>Wire Funds Received</t>
  </si>
  <si>
    <t>Balance Adjustment</t>
  </si>
  <si>
    <t>Regulatory fee adjustment</t>
  </si>
  <si>
    <t>SPXW  260327P06310000</t>
  </si>
  <si>
    <t>Sold 2 SPX 03/27/26 Put 6310.00 @ 0.82</t>
  </si>
  <si>
    <t>SPXW  260327C06555000</t>
  </si>
  <si>
    <t>Sold 2 SPX 03/27/26 Call 6555.00 @ 0.22</t>
  </si>
  <si>
    <t>SPXW  260327P06350000</t>
  </si>
  <si>
    <t>Bought 2 SPX 03/27/26 Put 6350.00 @ 4.06</t>
  </si>
  <si>
    <t>SPXW  260327C06515000</t>
  </si>
  <si>
    <t>Bought 2 SPX 03/27/26 Call 6515.00 @ 0.38</t>
  </si>
  <si>
    <t>Bought 2 SPX 03/27/26 Call 6555.00 @ 1.32</t>
  </si>
  <si>
    <t>Sold 2 SPX 03/27/26 Call 6515.00 @ 2.87</t>
  </si>
  <si>
    <t>Sold 1 SPX 03/27/26 Put 6350.00 @ 3.27</t>
  </si>
  <si>
    <t>Bought 1 SPX 03/27/26 Put 6310.00 @ 1.22</t>
  </si>
  <si>
    <t>Receive Deliver</t>
  </si>
  <si>
    <t>Expiration</t>
  </si>
  <si>
    <t>SPXW  260326C06610000</t>
  </si>
  <si>
    <t>Removal of 2.0 SPX 03/26/26 Call 6610.00 due to expiration.</t>
  </si>
  <si>
    <t>SPXW  260326C06650000</t>
  </si>
  <si>
    <t>Removal of 2.0 SPX 03/26/26 Call 6650.00 due to expiration.</t>
  </si>
  <si>
    <t>SPXW  260326P06500000</t>
  </si>
  <si>
    <t>Bought 2 SPX 03/26/26 Put 6500.00 @ 13.97</t>
  </si>
  <si>
    <t>SPXW  260326P06455000</t>
  </si>
  <si>
    <t>Sold 2 SPX 03/26/26 Put 6455.00 @ 1.92</t>
  </si>
  <si>
    <t>Sold 1 SPX 03/26/26 Put 6500.00 @ 3.25</t>
  </si>
  <si>
    <t>Bought 1 SPX 03/26/26 Put 6455.00 @ 0.60</t>
  </si>
  <si>
    <t>Sold 1 SPX 03/26/26 Call 6610.00 @ 2.60</t>
  </si>
  <si>
    <t>Bought 1 SPX 03/26/26 Call 6650.00 @ 0.75</t>
  </si>
  <si>
    <t>SPXW  260325P06525000</t>
  </si>
  <si>
    <t>Sold 2 SPX 03/25/26 Put 6525.00 @ 0.07</t>
  </si>
  <si>
    <t>SPXW  260325C06725000</t>
  </si>
  <si>
    <t>Sold 2 SPX 03/25/26 Call 6725.00 @ 0.03</t>
  </si>
  <si>
    <t>SPXW  260325P06565000</t>
  </si>
  <si>
    <t>Bought 2 SPX 03/25/26 Put 6565.00 @ 0.61</t>
  </si>
  <si>
    <t>SPXW  260325C06685000</t>
  </si>
  <si>
    <t>Bought 2 SPX 03/25/26 Call 6685.00 @ 0.04</t>
  </si>
  <si>
    <t>Sold 2 SPX 03/25/26 Call 6685.00 @ 1.83</t>
  </si>
  <si>
    <t>Sold 2 SPX 03/25/26 Put 6565.00 @ 7.10</t>
  </si>
  <si>
    <t>Bought 2 SPX 03/25/26 Call 6725.00 @ 0.52</t>
  </si>
  <si>
    <t>Bought 2 SPX 03/25/26 Put 6525.00 @ 2.66</t>
  </si>
  <si>
    <t>Row Labels</t>
  </si>
  <si>
    <t>Grand Total</t>
  </si>
  <si>
    <t>Column Labels</t>
  </si>
  <si>
    <t>Date/Time</t>
  </si>
  <si>
    <t>Time</t>
  </si>
  <si>
    <t>Sum of Total</t>
  </si>
  <si>
    <t>Open</t>
  </si>
  <si>
    <t>Close</t>
  </si>
  <si>
    <t>TRADE</t>
  </si>
  <si>
    <t>Total TRADE</t>
  </si>
  <si>
    <t>FEES &amp; COMMISSIONS</t>
  </si>
  <si>
    <t>Total FEES &amp; COMMISSIONS</t>
  </si>
  <si>
    <t>DAY TRADE 0DTE</t>
  </si>
  <si>
    <t>RESULTADO OPERAÇÃO</t>
  </si>
  <si>
    <t>TOTAL</t>
  </si>
  <si>
    <t>#</t>
  </si>
  <si>
    <t>Estratégia</t>
  </si>
  <si>
    <t>Tipo</t>
  </si>
  <si>
    <t>Direção</t>
  </si>
  <si>
    <t>Você quer que o preço...</t>
  </si>
  <si>
    <t>Bull Call</t>
  </si>
  <si>
    <t>Débito</t>
  </si>
  <si>
    <t>🟢 Alta</t>
  </si>
  <si>
    <t>SUBA</t>
  </si>
  <si>
    <t>Bull Put</t>
  </si>
  <si>
    <t>Crédito</t>
  </si>
  <si>
    <t>🟢 Alta/Neutro</t>
  </si>
  <si>
    <t>NÃO caia</t>
  </si>
  <si>
    <t>Bear Put</t>
  </si>
  <si>
    <t>🔴 Queda</t>
  </si>
  <si>
    <t>CAIA</t>
  </si>
  <si>
    <t>Bear Call</t>
  </si>
  <si>
    <t>🔴 Queda/Neutro</t>
  </si>
  <si>
    <t>NÃO suba</t>
  </si>
  <si>
    <t>Iron Condor</t>
  </si>
  <si>
    <t>🟡 Neutro</t>
  </si>
  <si>
    <t>FIQUE parado</t>
  </si>
  <si>
    <t>Iron Butterfly</t>
  </si>
  <si>
    <t>FIQUE exatamente ali</t>
  </si>
  <si>
    <t>Long Call</t>
  </si>
  <si>
    <t>SUBA muito</t>
  </si>
  <si>
    <t>Long Put</t>
  </si>
  <si>
    <t>CAIA muito</t>
  </si>
  <si>
    <t>Straddle</t>
  </si>
  <si>
    <t>SE MOVA (qq direção)</t>
  </si>
  <si>
    <t>Strangle</t>
  </si>
  <si>
    <t>SE MOVA muito</t>
  </si>
  <si>
    <t>⬍ Movimento</t>
  </si>
  <si>
    <t>🧠 Macete para Nunca Confundir</t>
  </si>
  <si>
    <t>"BULL" = Aposta na ALTA</t>
  </si>
  <si>
    <t>"BEAR" = Aposta na QUEDA</t>
  </si>
  <si>
    <t>O segundo nome (Call/Put) = tipo de opção usada</t>
  </si>
  <si>
    <t>BULL CALL = Alta usando Calls  → COMPRA o de baixo</t>
  </si>
  <si>
    <t>BULL PUT  = Alta usando Puts   → VENDE o de cima</t>
  </si>
  <si>
    <t>BEAR CALL = Baixa usando Calls → VENDE o de baixo</t>
  </si>
  <si>
    <t>BEAR PUT  = Baixa usando Puts  → COMPRA o de cima</t>
  </si>
  <si>
    <t>BEAR → Você VENDE  o strike mais perto</t>
  </si>
  <si>
    <t>BULL → Você COMPRA o strike mais perto</t>
  </si>
  <si>
    <t>SPXW  260414C06980000</t>
  </si>
  <si>
    <t>Bought 1 SPX 04/14/26 Call 6980.00 @ 0.75</t>
  </si>
  <si>
    <t>SPXW  260414C06965000</t>
  </si>
  <si>
    <t>Sold 1 SPX 04/14/26 Call 6965.00 @ 4.60</t>
  </si>
  <si>
    <t>Sold 1 SPX 04/14/26 Call 6980.00 @ 1.62</t>
  </si>
  <si>
    <t>Bought 1 SPX 04/14/26 Call 6965.00 @ 4.92</t>
  </si>
  <si>
    <t>Sold 1 SPX 04/14/26 Call 6965.00 @ 1.57</t>
  </si>
  <si>
    <t>SPXW  260414C06950000</t>
  </si>
  <si>
    <t>Bought 1 SPX 04/14/26 Call 6950.00 @ 3.67</t>
  </si>
  <si>
    <t>Sold 1 SPX 04/14/26 Call 6965.00 @ 1.60</t>
  </si>
  <si>
    <t>Bought 1 SPX 04/14/26 Call 6950.00 @ 3.70</t>
  </si>
  <si>
    <t>Bought 1 SPX 04/14/26 Call 6965.00 @ 1.70</t>
  </si>
  <si>
    <t>Sold 1 SPX 04/14/26 Call 6950.00 @ 3.95</t>
  </si>
  <si>
    <t>Taxes</t>
  </si>
  <si>
    <t>Total Taxes</t>
  </si>
  <si>
    <t>P/L</t>
  </si>
  <si>
    <t>Total P/L</t>
  </si>
  <si>
    <t>NET P/L</t>
  </si>
  <si>
    <t>Total NET P/L</t>
  </si>
  <si>
    <t>IRON CONDOR</t>
  </si>
  <si>
    <t>BULL CALL SPREAD</t>
  </si>
  <si>
    <t>BEAR CALL SPREAD</t>
  </si>
  <si>
    <t>Janela de Tempo (NY)</t>
  </si>
  <si>
    <t>Velocidade do Theta</t>
  </si>
  <si>
    <t>11:30 - 12:30</t>
  </si>
  <si>
    <t>12:30 - 13:30</t>
  </si>
  <si>
    <t>13:30 - 15:00</t>
  </si>
  <si>
    <t>15:00 - 16:00</t>
  </si>
  <si>
    <t>% do Prêmio</t>
  </si>
  <si>
    <t>Valor Estimado</t>
  </si>
  <si>
    <t>Gotejamento</t>
  </si>
  <si>
    <t> O tempo começa a pesar, mas a volatilidade ainda segura o preço.</t>
  </si>
  <si>
    <t>Aceleração</t>
  </si>
  <si>
    <t> O ponto de inflexão. O mercado começa a "aceitar" que o range vai segurar.</t>
  </si>
  <si>
    <t>Cachoeira</t>
  </si>
  <si>
    <t> Onde a maior parte do lucro é colhida. Perda de ~$0.40 a $0.60 por hora.</t>
  </si>
  <si>
    <t>Colapso</t>
  </si>
  <si>
    <t> O prêmio extrínseco "vaporiza". É o lucro máximo, mas com Risco de Gamma extremo.</t>
  </si>
  <si>
    <t>Descrição</t>
  </si>
  <si>
    <t>Janela de Tempo (BR)</t>
  </si>
  <si>
    <t>13:30 - 14:30</t>
  </si>
  <si>
    <t>14:30 - 16:00</t>
  </si>
  <si>
    <t>16:00 - 17:00</t>
  </si>
  <si>
    <t>⏳ Estimativa de Erosão do Prêmio -  Iron Condor:</t>
  </si>
  <si>
    <t>superou o 7000</t>
  </si>
  <si>
    <t>13:47/ 13:53</t>
  </si>
  <si>
    <t>Withdrawal</t>
  </si>
  <si>
    <t>Digital Asset Fund Conversion Withdrawal of 49.47 USDC/USD</t>
  </si>
  <si>
    <t>SPXW  260415C07060000</t>
  </si>
  <si>
    <t>Sold 1 SPX 04/15/26 Call 7060.00 @ 0.12</t>
  </si>
  <si>
    <t>SPXW  260415C07020000</t>
  </si>
  <si>
    <t>Bought 1 SPX 04/15/26 Call 7020.00 @ 0.67</t>
  </si>
  <si>
    <t>SPXW  260415P06920000</t>
  </si>
  <si>
    <t>Sold 1 SPX 04/15/26 Put 6920.00 @ 1.30</t>
  </si>
  <si>
    <t>SPXW  260415P06960000</t>
  </si>
  <si>
    <t>Bought 1 SPX 04/15/26 Put 6960.00 @ 3.75</t>
  </si>
  <si>
    <t>Bought 2 SPX 04/15/26 Put 6920.00 @ 0.82</t>
  </si>
  <si>
    <t>Bought 2 SPX 04/15/26 Call 7060.00 @ 0.28</t>
  </si>
  <si>
    <t>Sold 2 SPX 04/15/26 Put 6960.00 @ 2.35</t>
  </si>
  <si>
    <t>Sold 2 SPX 04/15/26 Call 7020.00 @ 1.50</t>
  </si>
  <si>
    <t>Errei a Operação</t>
  </si>
  <si>
    <t>SPXW  260424C07140000</t>
  </si>
  <si>
    <t>Bought 1 SPX 04/24/26 Call 7140.00 @ 21.35</t>
  </si>
  <si>
    <t>SPXW  260424C07135000</t>
  </si>
  <si>
    <t>Sold 1 SPX 04/24/26 Call 7135.00 @ 26.20</t>
  </si>
  <si>
    <t>Sold 2 SPX 04/24/26 Call 7140.00 @ 6.51</t>
  </si>
  <si>
    <t>Bought 2 SPX 04/24/26 Call 7135.00 @ 8.26</t>
  </si>
  <si>
    <t>SPXW  260417C07140000</t>
  </si>
  <si>
    <t>Bought 2 SPX 04/17/26 Call 7140.00 @ 0.27</t>
  </si>
  <si>
    <t>SPXW  260417C07135000</t>
  </si>
  <si>
    <t>Sold 2 SPX 04/17/26 Call 7135.00 @ 0.47</t>
  </si>
  <si>
    <t>Sold 1 SPX 04/17/26 Call 7140.00 @ 4.63</t>
  </si>
  <si>
    <t>Bought 1 SPX 04/17/26 Call 7135.00 @ 6.63</t>
  </si>
  <si>
    <t>SPXW  260417C07100000</t>
  </si>
  <si>
    <t>Bought 1 SPX 04/17/26 Call 7100.00 @ 43.00</t>
  </si>
  <si>
    <t>SPXW  260417C07095000</t>
  </si>
  <si>
    <t>Sold 1 SPX 04/17/26 Call 7095.00 @ 47.80</t>
  </si>
  <si>
    <t>Sold 1 SPX 04/17/26 Call 7100.00 @ 10.34</t>
  </si>
  <si>
    <t>Bought 1 SPX 04/17/26 Call 7095.00 @ 12.69</t>
  </si>
  <si>
    <t>Abr/26</t>
  </si>
  <si>
    <t>BEAR PUT SPREAD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</si>
</sst>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R$&quot;\ * #,##0.00_-;\-&quot;R$&quot;\ * #,##0.00_-;_-&quot;R$&quot;\ * &quot;-&quot;??_-;_-@_-"/>
    <numFmt numFmtId="164" formatCode="_-[$$-409]* #,##0.00_ ;_-[$$-409]* \-#,##0.00\ ;_-[$$-409]* &quot;-&quot;??_ ;_-@_ "/>
    <numFmt numFmtId="165" formatCode="[$]hh:mm;@" x16r2:formatCode16="[$-en-BR,1]hh:mm;@"/>
    <numFmt numFmtId="166" formatCode="0.0%"/>
    <numFmt numFmtId="167" formatCode="#,##0.0"/>
    <numFmt numFmtId="168" formatCode="[$]dd/mm/yy\ &quot;(&quot;ddd&quot;)&quot;;@\ " x16r2:formatCode16="[$-en-BR,1]dd/mm/yy\ &quot;(&quot;ddd&quot;)&quot;;@\ "/>
    <numFmt numFmtId="169" formatCode="_-&quot;R$&quot;\ * #,##0.00_-;[Red]\-&quot;R$&quot;\ * #,##0.00_-;&quot;-&quot;;_-@_-"/>
    <numFmt numFmtId="170" formatCode="_-[$$-409]* #,##0.00_ ;[Red]_-[$$-409]* \-#,##0.00\ ;_-[$$-409]* &quot;-&quot;??_ ;_-@_ "/>
    <numFmt numFmtId="171" formatCode="[$-F400]h:mm:ss\ AM/PM"/>
    <numFmt numFmtId="172" formatCode="#,##0_ ;\-#,##0\ "/>
  </numFmts>
  <fonts count="24" x14ac:knownFonts="1">
    <font>
      <sz val="12"/>
      <color theme="1"/>
      <name val="Aptos Narrow"/>
      <family val="2"/>
      <scheme val="minor"/>
    </font>
    <font>
      <sz val="12"/>
      <color theme="1"/>
      <name val="Aptos Narrow"/>
      <family val="2"/>
      <scheme val="minor"/>
    </font>
    <font>
      <b/>
      <sz val="12"/>
      <color theme="1"/>
      <name val="Aptos Narrow"/>
      <scheme val="minor"/>
    </font>
    <font>
      <b/>
      <sz val="12"/>
      <name val="Aptos Narrow"/>
      <scheme val="minor"/>
    </font>
    <font>
      <b/>
      <sz val="14"/>
      <color theme="1"/>
      <name val="Aptos Narrow"/>
      <scheme val="minor"/>
    </font>
    <font>
      <sz val="14"/>
      <color theme="1"/>
      <name val="Aptos Narrow"/>
      <scheme val="minor"/>
    </font>
    <font>
      <i/>
      <sz val="8"/>
      <color theme="1" tint="0.499984740745262"/>
      <name val="Aptos Narrow"/>
      <scheme val="minor"/>
    </font>
    <font>
      <i/>
      <sz val="8"/>
      <color theme="1"/>
      <name val="Aptos Narrow"/>
      <scheme val="minor"/>
    </font>
    <font>
      <b/>
      <sz val="12"/>
      <color rgb="FFFF0000"/>
      <name val="Aptos Narrow"/>
      <scheme val="minor"/>
    </font>
    <font>
      <b/>
      <sz val="12"/>
      <color theme="1" tint="0.499984740745262"/>
      <name val="Aptos Narrow"/>
      <scheme val="minor"/>
    </font>
    <font>
      <sz val="12"/>
      <color theme="1" tint="0.499984740745262"/>
      <name val="Aptos Narrow"/>
      <scheme val="minor"/>
    </font>
    <font>
      <sz val="8"/>
      <name val="Aptos Narrow"/>
      <family val="2"/>
      <scheme val="minor"/>
    </font>
    <font>
      <b/>
      <sz val="14"/>
      <name val="Arial"/>
      <family val="2"/>
    </font>
    <font>
      <sz val="14"/>
      <name val="Arial"/>
      <family val="2"/>
    </font>
    <font>
      <b/>
      <sz val="14"/>
      <color theme="1"/>
      <name val="Arial"/>
      <family val="2"/>
    </font>
    <font>
      <sz val="12"/>
      <color theme="1"/>
      <name val="Arial"/>
      <family val="2"/>
    </font>
    <font>
      <sz val="12"/>
      <name val="Arial"/>
      <family val="2"/>
    </font>
    <font>
      <sz val="12"/>
      <color rgb="FFCCCCCC"/>
      <name val="Arial"/>
      <family val="2"/>
    </font>
    <font>
      <b/>
      <i/>
      <sz val="8"/>
      <color theme="1" tint="0.499984740745262"/>
      <name val="Aptos Narrow"/>
      <scheme val="minor"/>
    </font>
    <font>
      <sz val="13"/>
      <color rgb="FFCCCCCC"/>
      <name val="Arial"/>
      <family val="2"/>
    </font>
    <font>
      <sz val="14"/>
      <color theme="1"/>
      <name val="Arial"/>
      <family val="2"/>
    </font>
    <font>
      <sz val="14"/>
      <color theme="1"/>
      <name val="Arial"/>
      <family val="2"/>
    </font>
    <font>
      <sz val="16"/>
      <color theme="1"/>
      <name val="Arial"/>
      <family val="2"/>
    </font>
    <font>
      <sz val="8"/>
      <color theme="1"/>
      <name val="Aptos Narrow"/>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FD78"/>
        <bgColor indexed="64"/>
      </patternFill>
    </fill>
    <fill>
      <patternFill patternType="solid">
        <fgColor theme="4" tint="0.79998168889431442"/>
        <bgColor indexed="64"/>
      </patternFill>
    </fill>
    <fill>
      <patternFill patternType="solid">
        <fgColor theme="9" tint="0.59999389629810485"/>
        <bgColor indexed="64"/>
      </patternFill>
    </fill>
  </fills>
  <borders count="24">
    <border>
      <left/>
      <right/>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hair">
        <color auto="1"/>
      </left>
      <right style="thin">
        <color auto="1"/>
      </right>
      <top/>
      <bottom/>
      <diagonal/>
    </border>
    <border>
      <left style="hair">
        <color auto="1"/>
      </left>
      <right style="hair">
        <color auto="1"/>
      </right>
      <top/>
      <bottom/>
      <diagonal/>
    </border>
    <border>
      <left style="thin">
        <color auto="1"/>
      </left>
      <right style="thin">
        <color auto="1"/>
      </right>
      <top/>
      <bottom style="hair">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style="hair">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top style="hair">
        <color auto="1"/>
      </top>
      <bottom/>
      <diagonal/>
    </border>
    <border>
      <left style="hair">
        <color auto="1"/>
      </left>
      <right style="hair">
        <color auto="1"/>
      </right>
      <top style="hair">
        <color auto="1"/>
      </top>
      <bottom/>
      <diagonal/>
    </border>
    <border>
      <left/>
      <right style="thin">
        <color auto="1"/>
      </right>
      <top style="hair">
        <color auto="1"/>
      </top>
      <bottom/>
      <diagonal/>
    </border>
    <border>
      <left style="thin">
        <color auto="1"/>
      </left>
      <right style="thin">
        <color auto="1"/>
      </right>
      <top style="hair">
        <color auto="1"/>
      </top>
      <bottom style="thin">
        <color auto="1"/>
      </bottom>
      <diagonal/>
    </border>
    <border>
      <left style="thin">
        <color auto="1"/>
      </left>
      <right/>
      <top style="hair">
        <color auto="1"/>
      </top>
      <bottom style="thin">
        <color auto="1"/>
      </bottom>
      <diagonal/>
    </border>
    <border>
      <left style="hair">
        <color auto="1"/>
      </left>
      <right style="hair">
        <color auto="1"/>
      </right>
      <top style="hair">
        <color auto="1"/>
      </top>
      <bottom style="thin">
        <color auto="1"/>
      </bottom>
      <diagonal/>
    </border>
    <border>
      <left/>
      <right style="thin">
        <color auto="1"/>
      </right>
      <top style="hair">
        <color auto="1"/>
      </top>
      <bottom style="thin">
        <color auto="1"/>
      </bottom>
      <diagonal/>
    </border>
    <border>
      <left/>
      <right/>
      <top style="hair">
        <color auto="1"/>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80">
    <xf numFmtId="0" fontId="0" fillId="0" borderId="0" xfId="0"/>
    <xf numFmtId="164" fontId="0" fillId="0" borderId="0" xfId="1" applyNumberFormat="1" applyFont="1" applyAlignment="1">
      <alignment horizontal="center"/>
    </xf>
    <xf numFmtId="0" fontId="0" fillId="0" borderId="2" xfId="0" applyBorder="1"/>
    <xf numFmtId="164" fontId="0" fillId="0" borderId="3" xfId="1" applyNumberFormat="1" applyFont="1" applyBorder="1" applyAlignment="1">
      <alignment horizontal="center"/>
    </xf>
    <xf numFmtId="0" fontId="2" fillId="0" borderId="2" xfId="0" applyFont="1" applyBorder="1" applyAlignment="1">
      <alignment horizontal="center"/>
    </xf>
    <xf numFmtId="164" fontId="2" fillId="0" borderId="3" xfId="1" applyNumberFormat="1" applyFont="1" applyBorder="1" applyAlignment="1">
      <alignment horizontal="center"/>
    </xf>
    <xf numFmtId="0" fontId="0" fillId="0" borderId="2" xfId="0" applyBorder="1" applyAlignment="1">
      <alignment horizontal="center"/>
    </xf>
    <xf numFmtId="0" fontId="0" fillId="0" borderId="2" xfId="0" applyBorder="1" applyAlignment="1">
      <alignment horizontal="left" indent="1"/>
    </xf>
    <xf numFmtId="0" fontId="2" fillId="0" borderId="2" xfId="0" applyFont="1" applyBorder="1" applyAlignment="1">
      <alignment horizontal="left" indent="1"/>
    </xf>
    <xf numFmtId="0" fontId="2" fillId="0" borderId="3" xfId="0" applyFont="1" applyBorder="1" applyAlignment="1">
      <alignment horizontal="center"/>
    </xf>
    <xf numFmtId="165" fontId="2" fillId="0" borderId="4" xfId="1" applyNumberFormat="1" applyFont="1" applyBorder="1" applyAlignment="1">
      <alignment horizontal="center"/>
    </xf>
    <xf numFmtId="164" fontId="0" fillId="0" borderId="5" xfId="1" applyNumberFormat="1" applyFont="1" applyBorder="1" applyAlignment="1">
      <alignment horizontal="center"/>
    </xf>
    <xf numFmtId="164" fontId="2" fillId="0" borderId="5" xfId="1" applyNumberFormat="1" applyFont="1" applyBorder="1" applyAlignment="1">
      <alignment horizontal="center"/>
    </xf>
    <xf numFmtId="0" fontId="0" fillId="0" borderId="5" xfId="0" applyBorder="1"/>
    <xf numFmtId="165" fontId="2" fillId="0" borderId="5" xfId="1" applyNumberFormat="1" applyFont="1" applyBorder="1" applyAlignment="1">
      <alignment horizontal="center"/>
    </xf>
    <xf numFmtId="165" fontId="0" fillId="0" borderId="5" xfId="1" applyNumberFormat="1" applyFont="1" applyBorder="1" applyAlignment="1">
      <alignment horizontal="center"/>
    </xf>
    <xf numFmtId="0" fontId="2" fillId="0" borderId="5" xfId="0" applyFont="1" applyBorder="1" applyAlignment="1">
      <alignment horizontal="center"/>
    </xf>
    <xf numFmtId="0" fontId="0" fillId="0" borderId="1" xfId="0" applyBorder="1"/>
    <xf numFmtId="0" fontId="2" fillId="0" borderId="1" xfId="0" applyFont="1" applyBorder="1" applyAlignment="1">
      <alignment horizontal="left" indent="1"/>
    </xf>
    <xf numFmtId="0" fontId="0" fillId="0" borderId="1" xfId="0" applyBorder="1" applyAlignment="1">
      <alignment horizontal="left" indent="2"/>
    </xf>
    <xf numFmtId="0" fontId="0" fillId="0" borderId="1" xfId="0" applyBorder="1" applyAlignment="1">
      <alignment horizontal="left" indent="1"/>
    </xf>
    <xf numFmtId="0" fontId="3" fillId="3" borderId="11" xfId="0" applyFont="1" applyFill="1" applyBorder="1" applyAlignment="1">
      <alignment horizontal="left" indent="1"/>
    </xf>
    <xf numFmtId="164" fontId="3" fillId="3" borderId="13" xfId="1" applyNumberFormat="1" applyFont="1" applyFill="1" applyBorder="1" applyAlignment="1"/>
    <xf numFmtId="164" fontId="3" fillId="3" borderId="14" xfId="1" applyNumberFormat="1" applyFont="1" applyFill="1" applyBorder="1" applyAlignment="1">
      <alignment horizontal="center"/>
    </xf>
    <xf numFmtId="0" fontId="2" fillId="3" borderId="11" xfId="0" applyFont="1" applyFill="1" applyBorder="1" applyAlignment="1">
      <alignment horizontal="left" indent="1"/>
    </xf>
    <xf numFmtId="0" fontId="2" fillId="3" borderId="12" xfId="0" applyFont="1" applyFill="1" applyBorder="1" applyAlignment="1">
      <alignment horizontal="center"/>
    </xf>
    <xf numFmtId="164" fontId="2" fillId="3" borderId="13" xfId="1" applyNumberFormat="1" applyFont="1" applyFill="1" applyBorder="1" applyAlignment="1">
      <alignment horizontal="center"/>
    </xf>
    <xf numFmtId="164" fontId="2" fillId="3" borderId="14" xfId="1" applyNumberFormat="1" applyFont="1" applyFill="1" applyBorder="1" applyAlignment="1">
      <alignment horizontal="center"/>
    </xf>
    <xf numFmtId="0" fontId="2" fillId="4" borderId="15" xfId="0" applyFont="1" applyFill="1" applyBorder="1" applyAlignment="1">
      <alignment horizontal="left" indent="1"/>
    </xf>
    <xf numFmtId="164" fontId="2" fillId="4" borderId="16" xfId="1" applyNumberFormat="1" applyFont="1" applyFill="1" applyBorder="1" applyAlignment="1">
      <alignment horizontal="center"/>
    </xf>
    <xf numFmtId="164" fontId="2" fillId="4" borderId="17" xfId="1" applyNumberFormat="1" applyFont="1" applyFill="1" applyBorder="1" applyAlignment="1">
      <alignment horizontal="center"/>
    </xf>
    <xf numFmtId="164" fontId="2" fillId="4" borderId="18" xfId="1" applyNumberFormat="1" applyFont="1" applyFill="1" applyBorder="1" applyAlignment="1">
      <alignment horizontal="center"/>
    </xf>
    <xf numFmtId="0" fontId="2" fillId="6" borderId="19" xfId="0" applyFont="1" applyFill="1" applyBorder="1" applyAlignment="1">
      <alignment horizontal="left" indent="1"/>
    </xf>
    <xf numFmtId="164" fontId="2" fillId="6" borderId="20" xfId="1" applyNumberFormat="1" applyFont="1" applyFill="1" applyBorder="1" applyAlignment="1">
      <alignment horizontal="center"/>
    </xf>
    <xf numFmtId="164" fontId="2" fillId="6" borderId="21" xfId="1" applyNumberFormat="1" applyFont="1" applyFill="1" applyBorder="1" applyAlignment="1">
      <alignment horizontal="center"/>
    </xf>
    <xf numFmtId="0" fontId="2" fillId="5" borderId="11" xfId="0" applyFont="1" applyFill="1" applyBorder="1" applyAlignment="1">
      <alignment horizontal="left" indent="1"/>
    </xf>
    <xf numFmtId="164" fontId="2" fillId="5" borderId="12" xfId="1" applyNumberFormat="1" applyFont="1" applyFill="1" applyBorder="1" applyAlignment="1">
      <alignment horizontal="center"/>
    </xf>
    <xf numFmtId="164" fontId="2" fillId="5" borderId="13" xfId="1" applyNumberFormat="1" applyFont="1" applyFill="1" applyBorder="1" applyAlignment="1">
      <alignment horizontal="center"/>
    </xf>
    <xf numFmtId="164" fontId="2" fillId="5" borderId="14" xfId="1" applyNumberFormat="1" applyFont="1" applyFill="1" applyBorder="1" applyAlignment="1">
      <alignment horizontal="center"/>
    </xf>
    <xf numFmtId="166" fontId="0" fillId="3" borderId="12" xfId="0" applyNumberFormat="1" applyFill="1" applyBorder="1" applyAlignment="1">
      <alignment horizontal="center"/>
    </xf>
    <xf numFmtId="0" fontId="2" fillId="7" borderId="15" xfId="0" applyFont="1" applyFill="1" applyBorder="1" applyAlignment="1">
      <alignment horizontal="left" indent="1"/>
    </xf>
    <xf numFmtId="164" fontId="2" fillId="7" borderId="16" xfId="1" applyNumberFormat="1" applyFont="1" applyFill="1" applyBorder="1" applyAlignment="1">
      <alignment horizontal="center"/>
    </xf>
    <xf numFmtId="164" fontId="2" fillId="7" borderId="17" xfId="1" applyNumberFormat="1" applyFont="1" applyFill="1" applyBorder="1" applyAlignment="1">
      <alignment horizontal="center"/>
    </xf>
    <xf numFmtId="164" fontId="2" fillId="7" borderId="18" xfId="1" applyNumberFormat="1" applyFont="1" applyFill="1" applyBorder="1" applyAlignment="1">
      <alignment horizontal="center"/>
    </xf>
    <xf numFmtId="0" fontId="0" fillId="8" borderId="1" xfId="0" applyFill="1" applyBorder="1" applyAlignment="1">
      <alignment horizontal="left" indent="2"/>
    </xf>
    <xf numFmtId="0" fontId="0" fillId="8" borderId="2" xfId="0" applyFill="1" applyBorder="1" applyAlignment="1">
      <alignment horizontal="center"/>
    </xf>
    <xf numFmtId="164" fontId="0" fillId="8" borderId="5" xfId="1" applyNumberFormat="1" applyFont="1" applyFill="1" applyBorder="1" applyAlignment="1">
      <alignment horizontal="center"/>
    </xf>
    <xf numFmtId="164" fontId="0" fillId="8" borderId="3" xfId="1" applyNumberFormat="1" applyFont="1" applyFill="1" applyBorder="1" applyAlignment="1">
      <alignment horizontal="center"/>
    </xf>
    <xf numFmtId="44" fontId="0" fillId="0" borderId="0" xfId="2" applyFont="1" applyAlignment="1">
      <alignment horizontal="center"/>
    </xf>
    <xf numFmtId="0" fontId="0" fillId="0" borderId="0" xfId="0" applyAlignment="1">
      <alignment horizontal="center"/>
    </xf>
    <xf numFmtId="9" fontId="0" fillId="0" borderId="0" xfId="0" applyNumberFormat="1" applyAlignment="1">
      <alignment horizontal="center"/>
    </xf>
    <xf numFmtId="164" fontId="0" fillId="0" borderId="0" xfId="0" applyNumberFormat="1"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0" fontId="3" fillId="3" borderId="6" xfId="0" applyFont="1" applyFill="1" applyBorder="1" applyAlignment="1">
      <alignment horizontal="left" indent="1"/>
    </xf>
    <xf numFmtId="166" fontId="0" fillId="3" borderId="2" xfId="0" applyNumberFormat="1" applyFill="1" applyBorder="1" applyAlignment="1">
      <alignment horizontal="center"/>
    </xf>
    <xf numFmtId="164" fontId="3" fillId="3" borderId="5" xfId="1" applyNumberFormat="1" applyFont="1" applyFill="1" applyBorder="1" applyAlignment="1"/>
    <xf numFmtId="164" fontId="3" fillId="3" borderId="3" xfId="1" applyNumberFormat="1" applyFont="1" applyFill="1" applyBorder="1" applyAlignment="1">
      <alignment horizontal="center"/>
    </xf>
    <xf numFmtId="166" fontId="6" fillId="0" borderId="4" xfId="1" applyNumberFormat="1" applyFont="1" applyBorder="1" applyAlignment="1">
      <alignment horizontal="center"/>
    </xf>
    <xf numFmtId="164" fontId="0" fillId="0" borderId="0" xfId="0" applyNumberFormat="1"/>
    <xf numFmtId="9" fontId="0" fillId="0" borderId="0" xfId="1" applyFont="1" applyAlignment="1">
      <alignment horizontal="center"/>
    </xf>
    <xf numFmtId="167" fontId="0" fillId="0" borderId="0" xfId="0" applyNumberFormat="1" applyAlignment="1">
      <alignment horizontal="center"/>
    </xf>
    <xf numFmtId="9" fontId="2" fillId="0" borderId="0" xfId="0" applyNumberFormat="1" applyFont="1" applyAlignment="1">
      <alignment horizontal="center"/>
    </xf>
    <xf numFmtId="10" fontId="7" fillId="0" borderId="2" xfId="0" applyNumberFormat="1" applyFont="1" applyBorder="1" applyAlignment="1">
      <alignment horizontal="center"/>
    </xf>
    <xf numFmtId="0" fontId="10" fillId="0" borderId="2" xfId="0" applyFont="1" applyBorder="1"/>
    <xf numFmtId="165" fontId="9" fillId="0" borderId="5" xfId="1" applyNumberFormat="1" applyFont="1" applyBorder="1" applyAlignment="1">
      <alignment horizontal="center"/>
    </xf>
    <xf numFmtId="165" fontId="9" fillId="0" borderId="4" xfId="1" applyNumberFormat="1" applyFont="1" applyBorder="1" applyAlignment="1">
      <alignment horizontal="center"/>
    </xf>
    <xf numFmtId="165" fontId="10" fillId="0" borderId="5" xfId="1" applyNumberFormat="1" applyFont="1" applyBorder="1" applyAlignment="1">
      <alignment horizontal="center"/>
    </xf>
    <xf numFmtId="166" fontId="10" fillId="3" borderId="2" xfId="0" applyNumberFormat="1" applyFont="1" applyFill="1" applyBorder="1" applyAlignment="1">
      <alignment horizontal="center"/>
    </xf>
    <xf numFmtId="164" fontId="9" fillId="3" borderId="5" xfId="1" applyNumberFormat="1" applyFont="1" applyFill="1" applyBorder="1" applyAlignment="1"/>
    <xf numFmtId="164" fontId="9" fillId="3" borderId="3" xfId="1" applyNumberFormat="1" applyFont="1" applyFill="1" applyBorder="1" applyAlignment="1">
      <alignment horizontal="center"/>
    </xf>
    <xf numFmtId="166" fontId="10" fillId="3" borderId="12" xfId="0" applyNumberFormat="1" applyFont="1" applyFill="1" applyBorder="1" applyAlignment="1">
      <alignment horizontal="center"/>
    </xf>
    <xf numFmtId="164" fontId="9" fillId="3" borderId="13" xfId="1" applyNumberFormat="1" applyFont="1" applyFill="1" applyBorder="1" applyAlignment="1"/>
    <xf numFmtId="164" fontId="9" fillId="3" borderId="14" xfId="1" applyNumberFormat="1" applyFont="1" applyFill="1" applyBorder="1" applyAlignment="1">
      <alignment horizontal="center"/>
    </xf>
    <xf numFmtId="0" fontId="9" fillId="0" borderId="2" xfId="0" applyFont="1" applyBorder="1" applyAlignment="1">
      <alignment horizontal="center"/>
    </xf>
    <xf numFmtId="164" fontId="9" fillId="0" borderId="5" xfId="1" applyNumberFormat="1" applyFont="1" applyBorder="1" applyAlignment="1">
      <alignment horizontal="center"/>
    </xf>
    <xf numFmtId="164" fontId="9" fillId="0" borderId="3" xfId="1" applyNumberFormat="1" applyFont="1" applyBorder="1" applyAlignment="1">
      <alignment horizontal="center"/>
    </xf>
    <xf numFmtId="0" fontId="10" fillId="8" borderId="2" xfId="0" applyFont="1" applyFill="1" applyBorder="1" applyAlignment="1">
      <alignment horizontal="center"/>
    </xf>
    <xf numFmtId="164" fontId="10" fillId="8" borderId="5" xfId="1" applyNumberFormat="1" applyFont="1" applyFill="1" applyBorder="1" applyAlignment="1">
      <alignment horizontal="center"/>
    </xf>
    <xf numFmtId="164" fontId="10" fillId="8" borderId="3" xfId="1" applyNumberFormat="1" applyFont="1" applyFill="1" applyBorder="1" applyAlignment="1">
      <alignment horizontal="center"/>
    </xf>
    <xf numFmtId="0" fontId="10" fillId="0" borderId="2" xfId="0" applyFont="1" applyBorder="1" applyAlignment="1">
      <alignment horizontal="center"/>
    </xf>
    <xf numFmtId="164" fontId="10" fillId="0" borderId="5" xfId="1" applyNumberFormat="1" applyFont="1" applyBorder="1" applyAlignment="1">
      <alignment horizontal="center"/>
    </xf>
    <xf numFmtId="164" fontId="10" fillId="0" borderId="3" xfId="1" applyNumberFormat="1" applyFont="1" applyBorder="1" applyAlignment="1">
      <alignment horizontal="center"/>
    </xf>
    <xf numFmtId="0" fontId="10" fillId="0" borderId="2" xfId="0" applyFont="1" applyBorder="1" applyAlignment="1">
      <alignment horizontal="left" indent="1"/>
    </xf>
    <xf numFmtId="0" fontId="9" fillId="0" borderId="2" xfId="0" applyFont="1" applyBorder="1" applyAlignment="1">
      <alignment horizontal="left" indent="1"/>
    </xf>
    <xf numFmtId="0" fontId="9" fillId="3" borderId="12" xfId="0" applyFont="1" applyFill="1" applyBorder="1" applyAlignment="1">
      <alignment horizontal="center"/>
    </xf>
    <xf numFmtId="164" fontId="9" fillId="3" borderId="13" xfId="1" applyNumberFormat="1" applyFont="1" applyFill="1" applyBorder="1" applyAlignment="1">
      <alignment horizontal="center"/>
    </xf>
    <xf numFmtId="0" fontId="9" fillId="0" borderId="5" xfId="0" applyFont="1" applyBorder="1" applyAlignment="1">
      <alignment horizontal="center"/>
    </xf>
    <xf numFmtId="0" fontId="9" fillId="0" borderId="3" xfId="0" applyFont="1" applyBorder="1" applyAlignment="1">
      <alignment horizontal="center"/>
    </xf>
    <xf numFmtId="164" fontId="9" fillId="4" borderId="16" xfId="1" applyNumberFormat="1" applyFont="1" applyFill="1" applyBorder="1" applyAlignment="1">
      <alignment horizontal="center"/>
    </xf>
    <xf numFmtId="164" fontId="9" fillId="4" borderId="17" xfId="1" applyNumberFormat="1" applyFont="1" applyFill="1" applyBorder="1" applyAlignment="1">
      <alignment horizontal="center"/>
    </xf>
    <xf numFmtId="164" fontId="9" fillId="4" borderId="18" xfId="1" applyNumberFormat="1" applyFont="1" applyFill="1" applyBorder="1" applyAlignment="1">
      <alignment horizontal="center"/>
    </xf>
    <xf numFmtId="164" fontId="9" fillId="7" borderId="16" xfId="1" applyNumberFormat="1" applyFont="1" applyFill="1" applyBorder="1" applyAlignment="1">
      <alignment horizontal="center"/>
    </xf>
    <xf numFmtId="164" fontId="9" fillId="7" borderId="17" xfId="1" applyNumberFormat="1" applyFont="1" applyFill="1" applyBorder="1" applyAlignment="1">
      <alignment horizontal="center"/>
    </xf>
    <xf numFmtId="164" fontId="9" fillId="7" borderId="18" xfId="1" applyNumberFormat="1" applyFont="1" applyFill="1" applyBorder="1" applyAlignment="1">
      <alignment horizontal="center"/>
    </xf>
    <xf numFmtId="164" fontId="9" fillId="5" borderId="12" xfId="1" applyNumberFormat="1" applyFont="1" applyFill="1" applyBorder="1" applyAlignment="1">
      <alignment horizontal="center"/>
    </xf>
    <xf numFmtId="164" fontId="9" fillId="5" borderId="13" xfId="1" applyNumberFormat="1" applyFont="1" applyFill="1" applyBorder="1" applyAlignment="1">
      <alignment horizontal="center"/>
    </xf>
    <xf numFmtId="164" fontId="9" fillId="5" borderId="14" xfId="1" applyNumberFormat="1" applyFont="1" applyFill="1" applyBorder="1" applyAlignment="1">
      <alignment horizontal="center"/>
    </xf>
    <xf numFmtId="0" fontId="10" fillId="0" borderId="5" xfId="0" applyFont="1" applyBorder="1"/>
    <xf numFmtId="164" fontId="9" fillId="6" borderId="20" xfId="1" applyNumberFormat="1" applyFont="1" applyFill="1" applyBorder="1" applyAlignment="1">
      <alignment horizontal="center"/>
    </xf>
    <xf numFmtId="164" fontId="9" fillId="6" borderId="21" xfId="1" applyNumberFormat="1" applyFont="1" applyFill="1" applyBorder="1" applyAlignment="1">
      <alignment horizontal="center"/>
    </xf>
    <xf numFmtId="164" fontId="9" fillId="6" borderId="22" xfId="1" applyNumberFormat="1" applyFont="1" applyFill="1" applyBorder="1" applyAlignment="1">
      <alignment horizontal="center"/>
    </xf>
    <xf numFmtId="168" fontId="2" fillId="0" borderId="0" xfId="0" applyNumberFormat="1" applyFont="1" applyAlignment="1">
      <alignment horizontal="center"/>
    </xf>
    <xf numFmtId="168" fontId="0" fillId="0" borderId="0" xfId="0" applyNumberFormat="1" applyAlignment="1">
      <alignment horizontal="left" indent="1"/>
    </xf>
    <xf numFmtId="169" fontId="0" fillId="0" borderId="0" xfId="0" applyNumberFormat="1" applyAlignment="1">
      <alignment horizontal="center"/>
    </xf>
    <xf numFmtId="169" fontId="2" fillId="0" borderId="0" xfId="0" applyNumberFormat="1" applyFont="1" applyAlignment="1">
      <alignment horizontal="center"/>
    </xf>
    <xf numFmtId="9" fontId="2" fillId="0" borderId="0" xfId="1" applyFont="1" applyAlignment="1">
      <alignment horizontal="center"/>
    </xf>
    <xf numFmtId="164" fontId="8" fillId="5" borderId="0" xfId="1" applyNumberFormat="1" applyFont="1" applyFill="1" applyAlignment="1">
      <alignment horizontal="center"/>
    </xf>
    <xf numFmtId="164" fontId="0" fillId="7" borderId="0" xfId="0" applyNumberFormat="1" applyFill="1" applyAlignment="1">
      <alignment horizontal="center"/>
    </xf>
    <xf numFmtId="17" fontId="0" fillId="0" borderId="0" xfId="0" applyNumberFormat="1" applyAlignment="1">
      <alignment horizontal="center"/>
    </xf>
    <xf numFmtId="170" fontId="0" fillId="0" borderId="0" xfId="0" applyNumberFormat="1" applyAlignment="1">
      <alignment horizontal="center"/>
    </xf>
    <xf numFmtId="166" fontId="0" fillId="0" borderId="0" xfId="1" applyNumberFormat="1" applyFont="1" applyFill="1" applyBorder="1" applyAlignment="1">
      <alignment horizontal="center"/>
    </xf>
    <xf numFmtId="164" fontId="0" fillId="0" borderId="0" xfId="1" applyNumberFormat="1" applyFont="1" applyBorder="1" applyAlignment="1">
      <alignment horizontal="center"/>
    </xf>
    <xf numFmtId="166" fontId="6" fillId="0" borderId="0" xfId="1" applyNumberFormat="1" applyFont="1" applyBorder="1" applyAlignment="1">
      <alignment horizontal="center"/>
    </xf>
    <xf numFmtId="4" fontId="0" fillId="0" borderId="0" xfId="0" applyNumberFormat="1" applyAlignment="1">
      <alignment horizontal="center"/>
    </xf>
    <xf numFmtId="0" fontId="0" fillId="7" borderId="0" xfId="0" applyFill="1"/>
    <xf numFmtId="170" fontId="2" fillId="6" borderId="22" xfId="1" applyNumberFormat="1" applyFont="1" applyFill="1" applyBorder="1" applyAlignment="1">
      <alignment horizontal="center"/>
    </xf>
    <xf numFmtId="22" fontId="0" fillId="0" borderId="0" xfId="0" applyNumberFormat="1"/>
    <xf numFmtId="14" fontId="0" fillId="0" borderId="0" xfId="0" applyNumberFormat="1"/>
    <xf numFmtId="14" fontId="0" fillId="0" borderId="0" xfId="0" applyNumberFormat="1" applyAlignment="1">
      <alignment horizontal="center"/>
    </xf>
    <xf numFmtId="0" fontId="0" fillId="0" borderId="0" xfId="0" pivotButton="1"/>
    <xf numFmtId="0" fontId="0" fillId="0" borderId="0" xfId="0" applyAlignment="1">
      <alignment horizontal="left"/>
    </xf>
    <xf numFmtId="171" fontId="0" fillId="0" borderId="0" xfId="0" applyNumberFormat="1"/>
    <xf numFmtId="0" fontId="0" fillId="0" borderId="0" xfId="0" pivotButton="1" applyAlignment="1">
      <alignment horizontal="center"/>
    </xf>
    <xf numFmtId="0" fontId="0" fillId="7" borderId="0" xfId="0" applyFill="1" applyAlignment="1">
      <alignment horizontal="left" indent="1"/>
    </xf>
    <xf numFmtId="0" fontId="0" fillId="0" borderId="0" xfId="0" applyAlignment="1">
      <alignment horizontal="center" indent="2"/>
    </xf>
    <xf numFmtId="170" fontId="2" fillId="0" borderId="0" xfId="1" applyNumberFormat="1" applyFont="1" applyFill="1" applyBorder="1" applyAlignment="1">
      <alignment horizontal="center"/>
    </xf>
    <xf numFmtId="164" fontId="2" fillId="0" borderId="4" xfId="1" applyNumberFormat="1" applyFont="1" applyBorder="1" applyAlignment="1">
      <alignment horizontal="center"/>
    </xf>
    <xf numFmtId="0" fontId="12" fillId="0" borderId="0" xfId="0" applyFont="1" applyAlignment="1">
      <alignment horizontal="center" vertical="center"/>
    </xf>
    <xf numFmtId="0" fontId="13" fillId="0" borderId="0" xfId="0" applyFont="1" applyAlignment="1">
      <alignment horizontal="center" vertical="center"/>
    </xf>
    <xf numFmtId="0" fontId="12" fillId="0" borderId="0" xfId="0" applyFont="1" applyAlignment="1">
      <alignment horizontal="left" vertical="center" indent="1"/>
    </xf>
    <xf numFmtId="0" fontId="13" fillId="0" borderId="0" xfId="0" applyFont="1" applyAlignment="1">
      <alignment horizontal="left" vertical="center" indent="1"/>
    </xf>
    <xf numFmtId="0" fontId="15"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horizontal="left" vertical="center" indent="1"/>
    </xf>
    <xf numFmtId="0" fontId="16" fillId="0" borderId="0" xfId="0" applyFont="1" applyAlignment="1">
      <alignment horizontal="left" vertical="center" indent="1"/>
    </xf>
    <xf numFmtId="0" fontId="17" fillId="0" borderId="0" xfId="0" applyFont="1" applyAlignment="1">
      <alignment horizontal="left" vertical="center" indent="1"/>
    </xf>
    <xf numFmtId="0" fontId="14" fillId="0" borderId="0" xfId="0" applyFont="1" applyAlignment="1">
      <alignment horizontal="left" vertical="center" indent="1"/>
    </xf>
    <xf numFmtId="166" fontId="18" fillId="0" borderId="4" xfId="1" applyNumberFormat="1" applyFont="1" applyBorder="1" applyAlignment="1">
      <alignment horizontal="center"/>
    </xf>
    <xf numFmtId="14" fontId="0" fillId="0" borderId="0" xfId="0" applyNumberFormat="1" applyAlignment="1">
      <alignment horizontal="left" indent="1"/>
    </xf>
    <xf numFmtId="14" fontId="0" fillId="0" borderId="0" xfId="0" applyNumberFormat="1" applyAlignment="1">
      <alignment horizontal="left"/>
    </xf>
    <xf numFmtId="0" fontId="0" fillId="0" borderId="0" xfId="0" applyAlignment="1">
      <alignment vertical="center"/>
    </xf>
    <xf numFmtId="0" fontId="19" fillId="0" borderId="0" xfId="0" applyFont="1" applyAlignment="1">
      <alignment vertical="center"/>
    </xf>
    <xf numFmtId="164" fontId="14" fillId="9" borderId="5" xfId="1" applyNumberFormat="1" applyFont="1" applyFill="1" applyBorder="1" applyAlignment="1">
      <alignment horizontal="center" vertical="center"/>
    </xf>
    <xf numFmtId="0" fontId="21" fillId="0" borderId="0" xfId="0" applyFont="1" applyAlignment="1">
      <alignment horizontal="center" vertical="center"/>
    </xf>
    <xf numFmtId="0" fontId="14" fillId="0" borderId="0" xfId="0" applyFont="1" applyAlignment="1">
      <alignment horizontal="center" vertical="center"/>
    </xf>
    <xf numFmtId="9" fontId="21" fillId="0" borderId="0" xfId="0" applyNumberFormat="1" applyFont="1" applyAlignment="1">
      <alignment horizontal="center" vertical="center"/>
    </xf>
    <xf numFmtId="164" fontId="14" fillId="0" borderId="5" xfId="1" applyNumberFormat="1" applyFont="1" applyFill="1" applyBorder="1" applyAlignment="1">
      <alignment horizontal="center" vertical="center"/>
    </xf>
    <xf numFmtId="164" fontId="21" fillId="0" borderId="5" xfId="1" applyNumberFormat="1" applyFont="1" applyFill="1" applyBorder="1" applyAlignment="1">
      <alignment horizontal="center" vertical="center"/>
    </xf>
    <xf numFmtId="0" fontId="22" fillId="0" borderId="0" xfId="0" applyFont="1" applyAlignment="1">
      <alignment vertical="center"/>
    </xf>
    <xf numFmtId="0" fontId="14" fillId="4" borderId="0" xfId="0" applyFont="1" applyFill="1" applyAlignment="1">
      <alignment horizontal="center" vertical="center"/>
    </xf>
    <xf numFmtId="9" fontId="21" fillId="4" borderId="0" xfId="0" applyNumberFormat="1" applyFont="1" applyFill="1" applyAlignment="1">
      <alignment horizontal="center" vertical="center"/>
    </xf>
    <xf numFmtId="164" fontId="21" fillId="4" borderId="5" xfId="1" applyNumberFormat="1" applyFont="1" applyFill="1" applyBorder="1" applyAlignment="1">
      <alignment horizontal="center" vertical="center"/>
    </xf>
    <xf numFmtId="0" fontId="21" fillId="4" borderId="0" xfId="0" applyFont="1" applyFill="1" applyAlignment="1">
      <alignment horizontal="center" vertical="center"/>
    </xf>
    <xf numFmtId="0" fontId="15" fillId="4" borderId="0" xfId="0" applyFont="1" applyFill="1" applyAlignment="1">
      <alignment horizontal="left" vertical="center" indent="1"/>
    </xf>
    <xf numFmtId="20" fontId="14" fillId="0" borderId="0" xfId="0" applyNumberFormat="1" applyFont="1" applyAlignment="1">
      <alignment horizontal="center" vertical="center"/>
    </xf>
    <xf numFmtId="9" fontId="14" fillId="0" borderId="0" xfId="0" applyNumberFormat="1" applyFont="1" applyAlignment="1">
      <alignment horizontal="center" vertical="center"/>
    </xf>
    <xf numFmtId="164" fontId="2" fillId="0" borderId="0" xfId="1" applyNumberFormat="1" applyFont="1" applyAlignment="1">
      <alignment horizontal="center"/>
    </xf>
    <xf numFmtId="9" fontId="0" fillId="0" borderId="0" xfId="1" applyFont="1"/>
    <xf numFmtId="10" fontId="0" fillId="0" borderId="0" xfId="1" applyNumberFormat="1" applyFont="1" applyAlignment="1">
      <alignment horizontal="center"/>
    </xf>
    <xf numFmtId="10" fontId="0" fillId="0" borderId="0" xfId="0" applyNumberFormat="1" applyAlignment="1">
      <alignment horizontal="center"/>
    </xf>
    <xf numFmtId="17" fontId="2" fillId="0" borderId="0" xfId="0" applyNumberFormat="1" applyFont="1" applyAlignment="1">
      <alignment horizontal="center"/>
    </xf>
    <xf numFmtId="172" fontId="23" fillId="0" borderId="2" xfId="0" applyNumberFormat="1" applyFont="1" applyBorder="1" applyAlignment="1">
      <alignment horizontal="center"/>
    </xf>
    <xf numFmtId="15" fontId="2" fillId="4" borderId="7" xfId="1" applyNumberFormat="1" applyFont="1" applyFill="1" applyBorder="1" applyAlignment="1">
      <alignment horizontal="center"/>
    </xf>
    <xf numFmtId="15" fontId="2" fillId="4" borderId="8" xfId="1" applyNumberFormat="1" applyFont="1" applyFill="1" applyBorder="1" applyAlignment="1">
      <alignment horizontal="center"/>
    </xf>
    <xf numFmtId="0" fontId="0" fillId="4" borderId="9" xfId="0" applyFill="1" applyBorder="1" applyAlignment="1">
      <alignment horizontal="center"/>
    </xf>
    <xf numFmtId="0" fontId="2" fillId="0" borderId="16" xfId="0" applyFont="1" applyBorder="1" applyAlignment="1">
      <alignment horizontal="center"/>
    </xf>
    <xf numFmtId="0" fontId="2" fillId="0" borderId="23" xfId="0" applyFont="1" applyBorder="1" applyAlignment="1">
      <alignment horizontal="center"/>
    </xf>
    <xf numFmtId="0" fontId="2" fillId="0" borderId="18" xfId="0" applyFont="1" applyBorder="1" applyAlignment="1">
      <alignment horizont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6" xfId="0" applyFont="1" applyBorder="1" applyAlignment="1">
      <alignment horizontal="center" vertical="center"/>
    </xf>
    <xf numFmtId="15" fontId="9" fillId="2" borderId="7" xfId="1" applyNumberFormat="1" applyFont="1" applyFill="1" applyBorder="1" applyAlignment="1">
      <alignment horizontal="center"/>
    </xf>
    <xf numFmtId="15" fontId="9" fillId="2" borderId="8" xfId="1" applyNumberFormat="1" applyFont="1" applyFill="1" applyBorder="1" applyAlignment="1">
      <alignment horizontal="center"/>
    </xf>
    <xf numFmtId="0" fontId="10" fillId="2" borderId="9" xfId="0" applyFont="1" applyFill="1" applyBorder="1" applyAlignment="1">
      <alignment horizontal="center"/>
    </xf>
    <xf numFmtId="0" fontId="20" fillId="0" borderId="0" xfId="0" applyFont="1" applyAlignment="1">
      <alignment horizontal="center" vertical="center" wrapText="1"/>
    </xf>
    <xf numFmtId="0" fontId="14" fillId="0" borderId="0" xfId="0" applyFont="1" applyAlignment="1">
      <alignment horizontal="left" vertical="center" indent="1"/>
    </xf>
    <xf numFmtId="0" fontId="16" fillId="0" borderId="0" xfId="0" applyFont="1" applyAlignment="1">
      <alignment horizontal="left" vertical="center" indent="1"/>
    </xf>
    <xf numFmtId="0" fontId="5" fillId="0" borderId="0" xfId="0" applyFont="1" applyAlignment="1">
      <alignment horizontal="left" vertical="center" wrapText="1" indent="1"/>
    </xf>
    <xf numFmtId="0" fontId="5" fillId="0" borderId="0" xfId="0" applyFont="1" applyAlignment="1">
      <alignment horizontal="left" vertical="center" indent="1"/>
    </xf>
  </cellXfs>
  <cellStyles count="3">
    <cellStyle name="Currency" xfId="2" builtinId="4"/>
    <cellStyle name="Normal" xfId="0" builtinId="0"/>
    <cellStyle name="Percent" xfId="1" builtinId="5"/>
  </cellStyles>
  <dxfs count="79">
    <dxf>
      <alignment horizontal="center"/>
    </dxf>
    <dxf>
      <alignment horizontal="center"/>
    </dxf>
    <dxf>
      <alignment horizontal="center"/>
    </dxf>
    <dxf>
      <alignment horizontal="center"/>
    </dxf>
    <dxf>
      <alignment horizontal="center"/>
    </dxf>
    <dxf>
      <alignment horizontal="left" relativeIndent="1"/>
    </dxf>
    <dxf>
      <alignment horizontal="center"/>
    </dxf>
    <dxf>
      <alignment horizontal="center"/>
    </dxf>
    <dxf>
      <alignment horizontal="center"/>
    </dxf>
    <dxf>
      <alignment horizontal="center"/>
    </dxf>
    <dxf>
      <fill>
        <patternFill patternType="solid">
          <bgColor rgb="FFFFC000"/>
        </patternFill>
      </fill>
    </dxf>
    <dxf>
      <fill>
        <patternFill>
          <bgColor rgb="FFFFFD78"/>
        </patternFill>
      </fill>
    </dxf>
    <dxf>
      <fill>
        <patternFill patternType="solid">
          <bgColor rgb="FFFFFD78"/>
        </patternFill>
      </fill>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71" formatCode="[$-F400]h:mm:ss\ AM/PM"/>
    </dxf>
    <dxf>
      <numFmt numFmtId="19" formatCode="dd/mm/yy"/>
      <alignment horizontal="center" vertical="bottom" textRotation="0" wrapText="0" indent="0" justifyLastLine="0" shrinkToFit="0" readingOrder="0"/>
    </dxf>
    <dxf>
      <numFmt numFmtId="27" formatCode="dd/mm/yy\ hh:mm"/>
    </dxf>
    <dxf>
      <alignment horizontal="center"/>
    </dxf>
    <dxf>
      <alignment horizontal="center"/>
    </dxf>
    <dxf>
      <alignment horizontal="center"/>
    </dxf>
    <dxf>
      <alignment horizontal="center"/>
    </dxf>
    <dxf>
      <alignment horizontal="center"/>
    </dxf>
    <dxf>
      <alignment horizontal="center"/>
    </dxf>
    <dxf>
      <fill>
        <patternFill patternType="solid">
          <bgColor rgb="FFFFFD78"/>
        </patternFill>
      </fill>
    </dxf>
    <dxf>
      <fill>
        <patternFill>
          <bgColor rgb="FFFFFD78"/>
        </patternFill>
      </fill>
    </dxf>
    <dxf>
      <fill>
        <patternFill patternType="solid">
          <bgColor rgb="FFFFC000"/>
        </patternFill>
      </fill>
    </dxf>
    <dxf>
      <alignment horizontal="center"/>
    </dxf>
    <dxf>
      <alignment horizontal="center"/>
    </dxf>
    <dxf>
      <alignment horizontal="center"/>
    </dxf>
    <dxf>
      <alignment horizontal="center"/>
    </dxf>
    <dxf>
      <alignment horizontal="left" relativeIndent="1"/>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70" formatCode="_-[$$-409]* #,##0.00_ ;[Red]_-[$$-409]* \-#,##0.00\ ;_-[$$-409]* &quot;-&quot;??_ ;_-@_ "/>
      <alignment horizontal="center" vertical="bottom" textRotation="0" wrapText="0" indent="0" justifyLastLine="0" shrinkToFit="0" readingOrder="0"/>
    </dxf>
    <dxf>
      <numFmt numFmtId="170" formatCode="_-[$$-409]* #,##0.00_ ;[Red]_-[$$-409]* \-#,##0.00\ ;_-[$$-409]* &quot;-&quot;??_ ;_-@_ "/>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8" formatCode="[$]dd/mm/yy\ &quot;(&quot;ddd&quot;)&quot;;@\ " x16r2:formatCode16="[$-en-BR,1]dd/mm/yy\ &quot;(&quot;ddd&quot;)&quot;;@\ "/>
      <alignment horizontal="left" vertical="bottom" textRotation="0" wrapText="0" indent="1"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naldo.ribeirocastellano" refreshedDate="46139.641463310189" createdVersion="8" refreshedVersion="8" minRefreshableVersion="3" recordCount="121" xr:uid="{1279BA69-0A79-0542-9142-EA7D1798169D}">
  <cacheSource type="worksheet">
    <worksheetSource name="tastytrade_transactions_history_x5WI39325"/>
  </cacheSource>
  <cacheFields count="29">
    <cacheField name="Date/Time" numFmtId="22">
      <sharedItems containsSemiMixedTypes="0" containsNonDate="0" containsDate="1" containsString="0" minDate="2026-03-24T18:00:00" maxDate="2026-04-24T16:05:28"/>
    </cacheField>
    <cacheField name="Date" numFmtId="14">
      <sharedItems containsSemiMixedTypes="0" containsNonDate="0" containsDate="1" containsString="0" minDate="2026-03-24T00:00:00" maxDate="2026-04-25T00:00:00" count="17">
        <d v="2026-04-24T00:00:00"/>
        <d v="2026-04-18T00:00:00"/>
        <d v="2026-04-17T00:00:00"/>
        <d v="2026-04-16T00:00:00"/>
        <d v="2026-04-15T00:00:00"/>
        <d v="2026-04-14T00:00:00"/>
        <d v="2026-04-11T00:00:00"/>
        <d v="2026-04-09T00:00:00"/>
        <d v="2026-04-08T00:00:00"/>
        <d v="2026-04-07T00:00:00"/>
        <d v="2026-04-04T00:00:00"/>
        <d v="2026-04-02T00:00:00"/>
        <d v="2026-03-28T00:00:00"/>
        <d v="2026-03-27T00:00:00"/>
        <d v="2026-03-26T00:00:00"/>
        <d v="2026-03-25T00:00:00"/>
        <d v="2026-03-24T00:00:00"/>
      </sharedItems>
      <fieldGroup par="25"/>
    </cacheField>
    <cacheField name="Time" numFmtId="171">
      <sharedItems containsSemiMixedTypes="0" containsNonDate="0" containsDate="1" containsString="0" minDate="1899-12-30T10:33:12" maxDate="1899-12-30T18:12:17"/>
    </cacheField>
    <cacheField name="Type" numFmtId="0">
      <sharedItems count="3">
        <s v="Trade"/>
        <s v="Money Movement"/>
        <s v="Receive Deliver"/>
      </sharedItems>
    </cacheField>
    <cacheField name="Sub Type" numFmtId="0">
      <sharedItems count="8">
        <s v="Buy to Close"/>
        <s v="Sell to Close"/>
        <s v="Sell to Open"/>
        <s v="Buy to Open"/>
        <s v="Balance Adjustment"/>
        <s v="Withdrawal"/>
        <s v="Deposit"/>
        <s v="Expiration"/>
      </sharedItems>
      <fieldGroup par="23"/>
    </cacheField>
    <cacheField name="Action" numFmtId="0">
      <sharedItems/>
    </cacheField>
    <cacheField name="Symbol" numFmtId="0">
      <sharedItems/>
    </cacheField>
    <cacheField name="Instrument Type" numFmtId="0">
      <sharedItems/>
    </cacheField>
    <cacheField name="Description" numFmtId="0">
      <sharedItems/>
    </cacheField>
    <cacheField name="Total" numFmtId="164">
      <sharedItems containsSemiMixedTypes="0" containsString="0" containsNumber="1" minValue="-4300.72" maxValue="20501.740000000002"/>
    </cacheField>
    <cacheField name="Value" numFmtId="164">
      <sharedItems containsSemiMixedTypes="0" containsString="0" containsNumber="1" minValue="-4300" maxValue="20501.740000000002"/>
    </cacheField>
    <cacheField name="Quantity" numFmtId="0">
      <sharedItems containsSemiMixedTypes="0" containsString="0" containsNumber="1" containsInteger="1" minValue="0" maxValue="2"/>
    </cacheField>
    <cacheField name="Average Price" numFmtId="164">
      <sharedItems containsString="0" containsBlank="1" containsNumber="1" containsInteger="1" minValue="-4300" maxValue="4780"/>
    </cacheField>
    <cacheField name="Commissions" numFmtId="164">
      <sharedItems containsSemiMixedTypes="0" containsString="0" containsNumber="1" containsInteger="1" minValue="-2" maxValue="0"/>
    </cacheField>
    <cacheField name="Fees" numFmtId="164">
      <sharedItems containsSemiMixedTypes="0" containsString="0" containsNumber="1" minValue="-1.46" maxValue="0"/>
    </cacheField>
    <cacheField name="Multiplier" numFmtId="0">
      <sharedItems containsString="0" containsBlank="1" containsNumber="1" containsInteger="1" minValue="100" maxValue="100"/>
    </cacheField>
    <cacheField name="Root Symbol" numFmtId="0">
      <sharedItems/>
    </cacheField>
    <cacheField name="Underlying Symbol" numFmtId="0">
      <sharedItems/>
    </cacheField>
    <cacheField name="Expiration Date" numFmtId="14">
      <sharedItems containsNonDate="0" containsDate="1" containsString="0" containsBlank="1" minDate="2026-03-25T00:00:00" maxDate="2026-04-25T00:00:00"/>
    </cacheField>
    <cacheField name="Strike Price" numFmtId="0">
      <sharedItems containsString="0" containsBlank="1" containsNumber="1" containsInteger="1" minValue="6310" maxValue="7140"/>
    </cacheField>
    <cacheField name="Call or Put" numFmtId="0">
      <sharedItems count="3">
        <s v="CALL"/>
        <s v=""/>
        <s v="PUT"/>
      </sharedItems>
    </cacheField>
    <cacheField name="Order #" numFmtId="0">
      <sharedItems containsString="0" containsBlank="1" containsNumber="1" containsInteger="1" minValue="449376036" maxValue="459569399"/>
    </cacheField>
    <cacheField name="Currency" numFmtId="0">
      <sharedItems/>
    </cacheField>
    <cacheField name="Sub Type2" numFmtId="0" databaseField="0">
      <fieldGroup base="4">
        <discretePr count="8">
          <x v="1"/>
          <x v="1"/>
          <x v="0"/>
          <x v="0"/>
          <x v="2"/>
          <x v="3"/>
          <x v="2"/>
          <x v="1"/>
        </discretePr>
        <groupItems count="4">
          <s v="Group1"/>
          <s v="Group2"/>
          <s v="Group3"/>
          <s v="Withdrawal"/>
        </groupItems>
      </fieldGroup>
    </cacheField>
    <cacheField name="Days (Date)" numFmtId="0" databaseField="0">
      <fieldGroup base="1">
        <rangePr groupBy="days" startDate="2026-03-24T00:00:00" endDate="2026-04-25T00:00:00"/>
        <groupItems count="368">
          <s v="&lt;24/03/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5/04/26"/>
        </groupItems>
      </fieldGroup>
    </cacheField>
    <cacheField name="Months (Date)" numFmtId="0" databaseField="0">
      <fieldGroup base="1">
        <rangePr groupBy="months" startDate="2026-03-24T00:00:00" endDate="2026-04-25T00:00:00"/>
        <groupItems count="14">
          <s v="&lt;24/03/26"/>
          <s v="Jan"/>
          <s v="Feb"/>
          <s v="Mar"/>
          <s v="Apr"/>
          <s v="May"/>
          <s v="Jun"/>
          <s v="Jul"/>
          <s v="Aug"/>
          <s v="Sep"/>
          <s v="Oct"/>
          <s v="Nov"/>
          <s v="Dec"/>
          <s v="&gt;25/04/26"/>
        </groupItems>
      </fieldGroup>
    </cacheField>
    <cacheField name="Fees&amp;Commissions" numFmtId="0" formula="Fees+Commissions" databaseField="0"/>
    <cacheField name="Imposto" numFmtId="0" formula="IF(Total&lt;0, 0, -Total* 15%)" databaseField="0"/>
    <cacheField name="Total Liquido" numFmtId="0" formula="Value+'Fees&amp;Commissions'+Imposto"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d v="2026-04-24T16:05:28"/>
    <x v="0"/>
    <d v="1899-12-30T16:05:28"/>
    <x v="0"/>
    <x v="0"/>
    <s v="BUY_TO_CLOSE"/>
    <s v="SPXW  260424C07140000"/>
    <s v="Equity Option"/>
    <s v="Bought 1 SPX 04/24/26 Call 7140.00 @ 21.35"/>
    <n v="-2135.7199999999998"/>
    <n v="-2135"/>
    <n v="1"/>
    <n v="-2135"/>
    <n v="0"/>
    <n v="-0.72"/>
    <n v="100"/>
    <s v="SPXW"/>
    <s v="SPX"/>
    <d v="2026-04-24T00:00:00"/>
    <n v="7140"/>
    <x v="0"/>
    <n v="459569399"/>
    <s v="USD"/>
  </r>
  <r>
    <d v="2026-04-24T16:05:28"/>
    <x v="0"/>
    <d v="1899-12-30T16:05:28"/>
    <x v="0"/>
    <x v="1"/>
    <s v="SELL_TO_CLOSE"/>
    <s v="SPXW  260424C07135000"/>
    <s v="Equity Option"/>
    <s v="Sold 1 SPX 04/24/26 Call 7135.00 @ 26.20"/>
    <n v="2619.2800000000002"/>
    <n v="2620"/>
    <n v="1"/>
    <n v="2620"/>
    <n v="0"/>
    <n v="-0.72"/>
    <n v="100"/>
    <s v="SPXW"/>
    <s v="SPX"/>
    <d v="2026-04-24T00:00:00"/>
    <n v="7135"/>
    <x v="0"/>
    <n v="459569399"/>
    <s v="USD"/>
  </r>
  <r>
    <d v="2026-04-24T16:05:28"/>
    <x v="0"/>
    <d v="1899-12-30T16:05:28"/>
    <x v="0"/>
    <x v="0"/>
    <s v="BUY_TO_CLOSE"/>
    <s v="SPXW  260424C07140000"/>
    <s v="Equity Option"/>
    <s v="Bought 1 SPX 04/24/26 Call 7140.00 @ 21.35"/>
    <n v="-2135.7199999999998"/>
    <n v="-2135"/>
    <n v="1"/>
    <n v="-2135"/>
    <n v="0"/>
    <n v="-0.72"/>
    <n v="100"/>
    <s v="SPXW"/>
    <s v="SPX"/>
    <d v="2026-04-24T00:00:00"/>
    <n v="7140"/>
    <x v="0"/>
    <n v="459569399"/>
    <s v="USD"/>
  </r>
  <r>
    <d v="2026-04-24T16:05:28"/>
    <x v="0"/>
    <d v="1899-12-30T16:05:28"/>
    <x v="0"/>
    <x v="1"/>
    <s v="SELL_TO_CLOSE"/>
    <s v="SPXW  260424C07135000"/>
    <s v="Equity Option"/>
    <s v="Sold 1 SPX 04/24/26 Call 7135.00 @ 26.20"/>
    <n v="2619.2800000000002"/>
    <n v="2620"/>
    <n v="1"/>
    <n v="2620"/>
    <n v="0"/>
    <n v="-0.72"/>
    <n v="100"/>
    <s v="SPXW"/>
    <s v="SPX"/>
    <d v="2026-04-24T00:00:00"/>
    <n v="7135"/>
    <x v="0"/>
    <n v="459569399"/>
    <s v="USD"/>
  </r>
  <r>
    <d v="2026-04-24T10:54:21"/>
    <x v="0"/>
    <d v="1899-12-30T10:54:21"/>
    <x v="0"/>
    <x v="2"/>
    <s v="SELL_TO_OPEN"/>
    <s v="SPXW  260424C07140000"/>
    <s v="Equity Option"/>
    <s v="Sold 2 SPX 04/24/26 Call 7140.00 @ 6.51"/>
    <n v="1298.54"/>
    <n v="1302"/>
    <n v="2"/>
    <n v="651"/>
    <n v="-2"/>
    <n v="-1.46"/>
    <n v="100"/>
    <s v="SPXW"/>
    <s v="SPX"/>
    <d v="2026-04-24T00:00:00"/>
    <n v="7140"/>
    <x v="0"/>
    <n v="458835898"/>
    <s v="USD"/>
  </r>
  <r>
    <d v="2026-04-24T10:54:21"/>
    <x v="0"/>
    <d v="1899-12-30T10:54:21"/>
    <x v="0"/>
    <x v="3"/>
    <s v="BUY_TO_OPEN"/>
    <s v="SPXW  260424C07135000"/>
    <s v="Equity Option"/>
    <s v="Bought 2 SPX 04/24/26 Call 7135.00 @ 8.26"/>
    <n v="-1655.45"/>
    <n v="-1652"/>
    <n v="2"/>
    <n v="-826"/>
    <n v="-2"/>
    <n v="-1.45"/>
    <n v="100"/>
    <s v="SPXW"/>
    <s v="SPX"/>
    <d v="2026-04-24T00:00:00"/>
    <n v="7135"/>
    <x v="0"/>
    <n v="458835898"/>
    <s v="USD"/>
  </r>
  <r>
    <d v="2026-04-18T16:24:30"/>
    <x v="1"/>
    <d v="1899-12-30T16:24:30"/>
    <x v="1"/>
    <x v="4"/>
    <s v=""/>
    <s v=""/>
    <s v=""/>
    <s v="Regulatory fee adjustment"/>
    <n v="0.06"/>
    <n v="0.06"/>
    <n v="0"/>
    <m/>
    <n v="0"/>
    <n v="0"/>
    <m/>
    <s v=""/>
    <s v=""/>
    <m/>
    <m/>
    <x v="1"/>
    <m/>
    <s v="USD"/>
  </r>
  <r>
    <d v="2026-04-17T16:19:26"/>
    <x v="2"/>
    <d v="1899-12-30T16:19:26"/>
    <x v="0"/>
    <x v="0"/>
    <s v="BUY_TO_CLOSE"/>
    <s v="SPXW  260417C07140000"/>
    <s v="Equity Option"/>
    <s v="Bought 2 SPX 04/17/26 Call 7140.00 @ 0.27"/>
    <n v="-55.45"/>
    <n v="-54"/>
    <n v="2"/>
    <n v="-27"/>
    <n v="0"/>
    <n v="-1.45"/>
    <n v="100"/>
    <s v="SPXW"/>
    <s v="SPX"/>
    <d v="2026-04-17T00:00:00"/>
    <n v="7140"/>
    <x v="0"/>
    <n v="455755390"/>
    <s v="USD"/>
  </r>
  <r>
    <d v="2026-04-17T16:19:26"/>
    <x v="2"/>
    <d v="1899-12-30T16:19:26"/>
    <x v="0"/>
    <x v="1"/>
    <s v="SELL_TO_CLOSE"/>
    <s v="SPXW  260417C07135000"/>
    <s v="Equity Option"/>
    <s v="Sold 2 SPX 04/17/26 Call 7135.00 @ 0.47"/>
    <n v="92.54"/>
    <n v="94"/>
    <n v="2"/>
    <n v="47"/>
    <n v="0"/>
    <n v="-1.46"/>
    <n v="100"/>
    <s v="SPXW"/>
    <s v="SPX"/>
    <d v="2026-04-17T00:00:00"/>
    <n v="7135"/>
    <x v="0"/>
    <n v="455755390"/>
    <s v="USD"/>
  </r>
  <r>
    <d v="2026-04-17T14:22:58"/>
    <x v="2"/>
    <d v="1899-12-30T14:22:58"/>
    <x v="0"/>
    <x v="2"/>
    <s v="SELL_TO_OPEN"/>
    <s v="SPXW  260417C07140000"/>
    <s v="Equity Option"/>
    <s v="Sold 1 SPX 04/17/26 Call 7140.00 @ 4.63"/>
    <n v="461.28"/>
    <n v="463"/>
    <n v="1"/>
    <n v="463"/>
    <n v="-1"/>
    <n v="-0.72"/>
    <n v="100"/>
    <s v="SPXW"/>
    <s v="SPX"/>
    <d v="2026-04-17T00:00:00"/>
    <n v="7140"/>
    <x v="0"/>
    <n v="455644177"/>
    <s v="USD"/>
  </r>
  <r>
    <d v="2026-04-17T14:22:58"/>
    <x v="2"/>
    <d v="1899-12-30T14:22:58"/>
    <x v="0"/>
    <x v="3"/>
    <s v="BUY_TO_OPEN"/>
    <s v="SPXW  260417C07135000"/>
    <s v="Equity Option"/>
    <s v="Bought 1 SPX 04/17/26 Call 7135.00 @ 6.63"/>
    <n v="-664.72"/>
    <n v="-663"/>
    <n v="1"/>
    <n v="-663"/>
    <n v="-1"/>
    <n v="-0.72"/>
    <n v="100"/>
    <s v="SPXW"/>
    <s v="SPX"/>
    <d v="2026-04-17T00:00:00"/>
    <n v="7135"/>
    <x v="0"/>
    <n v="455644177"/>
    <s v="USD"/>
  </r>
  <r>
    <d v="2026-04-17T14:22:58"/>
    <x v="2"/>
    <d v="1899-12-30T14:22:58"/>
    <x v="0"/>
    <x v="2"/>
    <s v="SELL_TO_OPEN"/>
    <s v="SPXW  260417C07140000"/>
    <s v="Equity Option"/>
    <s v="Sold 1 SPX 04/17/26 Call 7140.00 @ 4.63"/>
    <n v="461.28"/>
    <n v="463"/>
    <n v="1"/>
    <n v="463"/>
    <n v="-1"/>
    <n v="-0.72"/>
    <n v="100"/>
    <s v="SPXW"/>
    <s v="SPX"/>
    <d v="2026-04-17T00:00:00"/>
    <n v="7140"/>
    <x v="0"/>
    <n v="455644177"/>
    <s v="USD"/>
  </r>
  <r>
    <d v="2026-04-17T14:22:58"/>
    <x v="2"/>
    <d v="1899-12-30T14:22:58"/>
    <x v="0"/>
    <x v="3"/>
    <s v="BUY_TO_OPEN"/>
    <s v="SPXW  260417C07135000"/>
    <s v="Equity Option"/>
    <s v="Bought 1 SPX 04/17/26 Call 7135.00 @ 6.63"/>
    <n v="-664.72"/>
    <n v="-663"/>
    <n v="1"/>
    <n v="-663"/>
    <n v="-1"/>
    <n v="-0.72"/>
    <n v="100"/>
    <s v="SPXW"/>
    <s v="SPX"/>
    <d v="2026-04-17T00:00:00"/>
    <n v="7135"/>
    <x v="0"/>
    <n v="455644177"/>
    <s v="USD"/>
  </r>
  <r>
    <d v="2026-04-17T13:30:44"/>
    <x v="2"/>
    <d v="1899-12-30T13:30:44"/>
    <x v="0"/>
    <x v="0"/>
    <s v="BUY_TO_CLOSE"/>
    <s v="SPXW  260417C07100000"/>
    <s v="Equity Option"/>
    <s v="Bought 1 SPX 04/17/26 Call 7100.00 @ 43.00"/>
    <n v="-4300.72"/>
    <n v="-4300"/>
    <n v="1"/>
    <n v="-4300"/>
    <n v="0"/>
    <n v="-0.72"/>
    <n v="100"/>
    <s v="SPXW"/>
    <s v="SPX"/>
    <d v="2026-04-17T00:00:00"/>
    <n v="7100"/>
    <x v="0"/>
    <n v="455423841"/>
    <s v="USD"/>
  </r>
  <r>
    <d v="2026-04-17T13:30:44"/>
    <x v="2"/>
    <d v="1899-12-30T13:30:44"/>
    <x v="0"/>
    <x v="1"/>
    <s v="SELL_TO_CLOSE"/>
    <s v="SPXW  260417C07095000"/>
    <s v="Equity Option"/>
    <s v="Sold 1 SPX 04/17/26 Call 7095.00 @ 47.80"/>
    <n v="4779.28"/>
    <n v="4780"/>
    <n v="1"/>
    <n v="4780"/>
    <n v="0"/>
    <n v="-0.72"/>
    <n v="100"/>
    <s v="SPXW"/>
    <s v="SPX"/>
    <d v="2026-04-17T00:00:00"/>
    <n v="7095"/>
    <x v="0"/>
    <n v="455423841"/>
    <s v="USD"/>
  </r>
  <r>
    <d v="2026-04-17T10:33:12"/>
    <x v="2"/>
    <d v="1899-12-30T10:33:12"/>
    <x v="0"/>
    <x v="2"/>
    <s v="SELL_TO_OPEN"/>
    <s v="SPXW  260417C07100000"/>
    <s v="Equity Option"/>
    <s v="Sold 1 SPX 04/17/26 Call 7100.00 @ 10.34"/>
    <n v="1032.28"/>
    <n v="1034"/>
    <n v="1"/>
    <n v="1034"/>
    <n v="-1"/>
    <n v="-0.72"/>
    <n v="100"/>
    <s v="SPXW"/>
    <s v="SPX"/>
    <d v="2026-04-17T00:00:00"/>
    <n v="7100"/>
    <x v="0"/>
    <n v="455309658"/>
    <s v="USD"/>
  </r>
  <r>
    <d v="2026-04-17T10:33:12"/>
    <x v="2"/>
    <d v="1899-12-30T10:33:12"/>
    <x v="0"/>
    <x v="3"/>
    <s v="BUY_TO_OPEN"/>
    <s v="SPXW  260417C07095000"/>
    <s v="Equity Option"/>
    <s v="Bought 1 SPX 04/17/26 Call 7095.00 @ 12.69"/>
    <n v="-1270.72"/>
    <n v="-1269"/>
    <n v="1"/>
    <n v="-1269"/>
    <n v="-1"/>
    <n v="-0.72"/>
    <n v="100"/>
    <s v="SPXW"/>
    <s v="SPX"/>
    <d v="2026-04-17T00:00:00"/>
    <n v="7095"/>
    <x v="0"/>
    <n v="455309658"/>
    <s v="USD"/>
  </r>
  <r>
    <d v="2026-04-16T13:43:18"/>
    <x v="3"/>
    <d v="1899-12-30T13:43:18"/>
    <x v="1"/>
    <x v="5"/>
    <s v=""/>
    <s v=""/>
    <s v=""/>
    <s v="Digital Asset Fund Conversion Withdrawal of 49.47 USDC/USD"/>
    <n v="-50"/>
    <n v="-50"/>
    <n v="0"/>
    <m/>
    <n v="0"/>
    <n v="0"/>
    <m/>
    <s v=""/>
    <s v=""/>
    <m/>
    <m/>
    <x v="1"/>
    <m/>
    <s v="USD"/>
  </r>
  <r>
    <d v="2026-04-15T13:53:12"/>
    <x v="4"/>
    <d v="1899-12-30T13:53:12"/>
    <x v="0"/>
    <x v="1"/>
    <s v="SELL_TO_CLOSE"/>
    <s v="SPXW  260415C07060000"/>
    <s v="Equity Option"/>
    <s v="Sold 1 SPX 04/15/26 Call 7060.00 @ 0.12"/>
    <n v="11.28"/>
    <n v="12"/>
    <n v="1"/>
    <n v="12"/>
    <n v="0"/>
    <n v="-0.72"/>
    <n v="100"/>
    <s v="SPXW"/>
    <s v="SPX"/>
    <d v="2026-04-15T00:00:00"/>
    <n v="7060"/>
    <x v="0"/>
    <n v="454655076"/>
    <s v="USD"/>
  </r>
  <r>
    <d v="2026-04-15T13:53:12"/>
    <x v="4"/>
    <d v="1899-12-30T13:53:12"/>
    <x v="0"/>
    <x v="0"/>
    <s v="BUY_TO_CLOSE"/>
    <s v="SPXW  260415C07020000"/>
    <s v="Equity Option"/>
    <s v="Bought 1 SPX 04/15/26 Call 7020.00 @ 0.67"/>
    <n v="-67.72"/>
    <n v="-67"/>
    <n v="1"/>
    <n v="-67"/>
    <n v="0"/>
    <n v="-0.72"/>
    <n v="100"/>
    <s v="SPXW"/>
    <s v="SPX"/>
    <d v="2026-04-15T00:00:00"/>
    <n v="7020"/>
    <x v="0"/>
    <n v="454655076"/>
    <s v="USD"/>
  </r>
  <r>
    <d v="2026-04-15T13:53:12"/>
    <x v="4"/>
    <d v="1899-12-30T13:53:12"/>
    <x v="0"/>
    <x v="1"/>
    <s v="SELL_TO_CLOSE"/>
    <s v="SPXW  260415C07060000"/>
    <s v="Equity Option"/>
    <s v="Sold 1 SPX 04/15/26 Call 7060.00 @ 0.12"/>
    <n v="11.28"/>
    <n v="12"/>
    <n v="1"/>
    <n v="12"/>
    <n v="0"/>
    <n v="-0.72"/>
    <n v="100"/>
    <s v="SPXW"/>
    <s v="SPX"/>
    <d v="2026-04-15T00:00:00"/>
    <n v="7060"/>
    <x v="0"/>
    <n v="454655076"/>
    <s v="USD"/>
  </r>
  <r>
    <d v="2026-04-15T13:53:12"/>
    <x v="4"/>
    <d v="1899-12-30T13:53:12"/>
    <x v="0"/>
    <x v="0"/>
    <s v="BUY_TO_CLOSE"/>
    <s v="SPXW  260415C07020000"/>
    <s v="Equity Option"/>
    <s v="Bought 1 SPX 04/15/26 Call 7020.00 @ 0.67"/>
    <n v="-67.72"/>
    <n v="-67"/>
    <n v="1"/>
    <n v="-67"/>
    <n v="0"/>
    <n v="-0.72"/>
    <n v="100"/>
    <s v="SPXW"/>
    <s v="SPX"/>
    <d v="2026-04-15T00:00:00"/>
    <n v="7020"/>
    <x v="0"/>
    <n v="454655076"/>
    <s v="USD"/>
  </r>
  <r>
    <d v="2026-04-15T13:47:37"/>
    <x v="4"/>
    <d v="1899-12-30T13:47:37"/>
    <x v="0"/>
    <x v="1"/>
    <s v="SELL_TO_CLOSE"/>
    <s v="SPXW  260415P06920000"/>
    <s v="Equity Option"/>
    <s v="Sold 1 SPX 04/15/26 Put 6920.00 @ 1.30"/>
    <n v="129.28"/>
    <n v="130"/>
    <n v="1"/>
    <n v="130"/>
    <n v="0"/>
    <n v="-0.72"/>
    <n v="100"/>
    <s v="SPXW"/>
    <s v="SPX"/>
    <d v="2026-04-15T00:00:00"/>
    <n v="6920"/>
    <x v="2"/>
    <n v="454558051"/>
    <s v="USD"/>
  </r>
  <r>
    <d v="2026-04-15T13:47:37"/>
    <x v="4"/>
    <d v="1899-12-30T13:47:37"/>
    <x v="0"/>
    <x v="0"/>
    <s v="BUY_TO_CLOSE"/>
    <s v="SPXW  260415P06960000"/>
    <s v="Equity Option"/>
    <s v="Bought 1 SPX 04/15/26 Put 6960.00 @ 3.75"/>
    <n v="-375.72"/>
    <n v="-375"/>
    <n v="1"/>
    <n v="-375"/>
    <n v="0"/>
    <n v="-0.72"/>
    <n v="100"/>
    <s v="SPXW"/>
    <s v="SPX"/>
    <d v="2026-04-15T00:00:00"/>
    <n v="6960"/>
    <x v="2"/>
    <n v="454558051"/>
    <s v="USD"/>
  </r>
  <r>
    <d v="2026-04-15T13:47:37"/>
    <x v="4"/>
    <d v="1899-12-30T13:47:37"/>
    <x v="0"/>
    <x v="1"/>
    <s v="SELL_TO_CLOSE"/>
    <s v="SPXW  260415P06920000"/>
    <s v="Equity Option"/>
    <s v="Sold 1 SPX 04/15/26 Put 6920.00 @ 1.30"/>
    <n v="129.28"/>
    <n v="130"/>
    <n v="1"/>
    <n v="130"/>
    <n v="0"/>
    <n v="-0.72"/>
    <n v="100"/>
    <s v="SPXW"/>
    <s v="SPX"/>
    <d v="2026-04-15T00:00:00"/>
    <n v="6920"/>
    <x v="2"/>
    <n v="454558051"/>
    <s v="USD"/>
  </r>
  <r>
    <d v="2026-04-15T13:47:37"/>
    <x v="4"/>
    <d v="1899-12-30T13:47:37"/>
    <x v="0"/>
    <x v="0"/>
    <s v="BUY_TO_CLOSE"/>
    <s v="SPXW  260415P06960000"/>
    <s v="Equity Option"/>
    <s v="Bought 1 SPX 04/15/26 Put 6960.00 @ 3.75"/>
    <n v="-375.72"/>
    <n v="-375"/>
    <n v="1"/>
    <n v="-375"/>
    <n v="0"/>
    <n v="-0.72"/>
    <n v="100"/>
    <s v="SPXW"/>
    <s v="SPX"/>
    <d v="2026-04-15T00:00:00"/>
    <n v="6960"/>
    <x v="2"/>
    <n v="454558051"/>
    <s v="USD"/>
  </r>
  <r>
    <d v="2026-04-15T11:51:34"/>
    <x v="4"/>
    <d v="1899-12-30T11:51:34"/>
    <x v="0"/>
    <x v="3"/>
    <s v="BUY_TO_OPEN"/>
    <s v="SPXW  260415P06920000"/>
    <s v="Equity Option"/>
    <s v="Bought 2 SPX 04/15/26 Put 6920.00 @ 0.82"/>
    <n v="-167.45"/>
    <n v="-164"/>
    <n v="2"/>
    <n v="-82"/>
    <n v="-2"/>
    <n v="-1.45"/>
    <n v="100"/>
    <s v="SPXW"/>
    <s v="SPX"/>
    <d v="2026-04-15T00:00:00"/>
    <n v="6920"/>
    <x v="2"/>
    <n v="454551885"/>
    <s v="USD"/>
  </r>
  <r>
    <d v="2026-04-15T11:51:34"/>
    <x v="4"/>
    <d v="1899-12-30T11:51:34"/>
    <x v="0"/>
    <x v="3"/>
    <s v="BUY_TO_OPEN"/>
    <s v="SPXW  260415C07060000"/>
    <s v="Equity Option"/>
    <s v="Bought 2 SPX 04/15/26 Call 7060.00 @ 0.28"/>
    <n v="-59.45"/>
    <n v="-56"/>
    <n v="2"/>
    <n v="-28"/>
    <n v="-2"/>
    <n v="-1.45"/>
    <n v="100"/>
    <s v="SPXW"/>
    <s v="SPX"/>
    <d v="2026-04-15T00:00:00"/>
    <n v="7060"/>
    <x v="0"/>
    <n v="454551885"/>
    <s v="USD"/>
  </r>
  <r>
    <d v="2026-04-15T11:51:34"/>
    <x v="4"/>
    <d v="1899-12-30T11:51:34"/>
    <x v="0"/>
    <x v="2"/>
    <s v="SELL_TO_OPEN"/>
    <s v="SPXW  260415P06960000"/>
    <s v="Equity Option"/>
    <s v="Sold 2 SPX 04/15/26 Put 6960.00 @ 2.35"/>
    <n v="466.54"/>
    <n v="470"/>
    <n v="2"/>
    <n v="235"/>
    <n v="-2"/>
    <n v="-1.46"/>
    <n v="100"/>
    <s v="SPXW"/>
    <s v="SPX"/>
    <d v="2026-04-15T00:00:00"/>
    <n v="6960"/>
    <x v="2"/>
    <n v="454551885"/>
    <s v="USD"/>
  </r>
  <r>
    <d v="2026-04-15T11:51:34"/>
    <x v="4"/>
    <d v="1899-12-30T11:51:34"/>
    <x v="0"/>
    <x v="2"/>
    <s v="SELL_TO_OPEN"/>
    <s v="SPXW  260415C07020000"/>
    <s v="Equity Option"/>
    <s v="Sold 2 SPX 04/15/26 Call 7020.00 @ 1.50"/>
    <n v="296.54000000000002"/>
    <n v="300"/>
    <n v="2"/>
    <n v="150"/>
    <n v="-2"/>
    <n v="-1.46"/>
    <n v="100"/>
    <s v="SPXW"/>
    <s v="SPX"/>
    <d v="2026-04-15T00:00:00"/>
    <n v="7020"/>
    <x v="0"/>
    <n v="454551885"/>
    <s v="USD"/>
  </r>
  <r>
    <d v="2026-04-14T16:39:17"/>
    <x v="5"/>
    <d v="1899-12-30T16:39:17"/>
    <x v="0"/>
    <x v="0"/>
    <s v="BUY_TO_CLOSE"/>
    <s v="SPXW  260414C06980000"/>
    <s v="Equity Option"/>
    <s v="Bought 1 SPX 04/14/26 Call 6980.00 @ 0.75"/>
    <n v="-75.72"/>
    <n v="-75"/>
    <n v="1"/>
    <n v="-75"/>
    <n v="0"/>
    <n v="-0.72"/>
    <n v="100"/>
    <s v="SPXW"/>
    <s v="SPX"/>
    <d v="2026-04-14T00:00:00"/>
    <n v="6980"/>
    <x v="0"/>
    <n v="454367107"/>
    <s v="USD"/>
  </r>
  <r>
    <d v="2026-04-14T16:39:17"/>
    <x v="5"/>
    <d v="1899-12-30T16:39:17"/>
    <x v="0"/>
    <x v="1"/>
    <s v="SELL_TO_CLOSE"/>
    <s v="SPXW  260414C06965000"/>
    <s v="Equity Option"/>
    <s v="Sold 1 SPX 04/14/26 Call 6965.00 @ 4.60"/>
    <n v="459.28"/>
    <n v="460"/>
    <n v="1"/>
    <n v="460"/>
    <n v="0"/>
    <n v="-0.72"/>
    <n v="100"/>
    <s v="SPXW"/>
    <s v="SPX"/>
    <d v="2026-04-14T00:00:00"/>
    <n v="6965"/>
    <x v="0"/>
    <n v="454367107"/>
    <s v="USD"/>
  </r>
  <r>
    <d v="2026-04-14T13:44:36"/>
    <x v="5"/>
    <d v="1899-12-30T13:44:36"/>
    <x v="0"/>
    <x v="2"/>
    <s v="SELL_TO_OPEN"/>
    <s v="SPXW  260414C06980000"/>
    <s v="Equity Option"/>
    <s v="Sold 1 SPX 04/14/26 Call 6980.00 @ 1.62"/>
    <n v="160.28"/>
    <n v="162"/>
    <n v="1"/>
    <n v="162"/>
    <n v="-1"/>
    <n v="-0.72"/>
    <n v="100"/>
    <s v="SPXW"/>
    <s v="SPX"/>
    <d v="2026-04-14T00:00:00"/>
    <n v="6980"/>
    <x v="0"/>
    <n v="454249461"/>
    <s v="USD"/>
  </r>
  <r>
    <d v="2026-04-14T13:44:36"/>
    <x v="5"/>
    <d v="1899-12-30T13:44:36"/>
    <x v="0"/>
    <x v="3"/>
    <s v="BUY_TO_OPEN"/>
    <s v="SPXW  260414C06965000"/>
    <s v="Equity Option"/>
    <s v="Bought 1 SPX 04/14/26 Call 6965.00 @ 4.92"/>
    <n v="-493.72"/>
    <n v="-492"/>
    <n v="1"/>
    <n v="-492"/>
    <n v="-1"/>
    <n v="-0.72"/>
    <n v="100"/>
    <s v="SPXW"/>
    <s v="SPX"/>
    <d v="2026-04-14T00:00:00"/>
    <n v="6965"/>
    <x v="0"/>
    <n v="454249461"/>
    <s v="USD"/>
  </r>
  <r>
    <d v="2026-04-14T11:38:52"/>
    <x v="5"/>
    <d v="1899-12-30T11:38:52"/>
    <x v="0"/>
    <x v="1"/>
    <s v="SELL_TO_CLOSE"/>
    <s v="SPXW  260414C06965000"/>
    <s v="Equity Option"/>
    <s v="Sold 1 SPX 04/14/26 Call 6965.00 @ 1.57"/>
    <n v="156.28"/>
    <n v="157"/>
    <n v="1"/>
    <n v="157"/>
    <n v="0"/>
    <n v="-0.72"/>
    <n v="100"/>
    <s v="SPXW"/>
    <s v="SPX"/>
    <d v="2026-04-14T00:00:00"/>
    <n v="6965"/>
    <x v="0"/>
    <n v="454137172"/>
    <s v="USD"/>
  </r>
  <r>
    <d v="2026-04-14T11:38:52"/>
    <x v="5"/>
    <d v="1899-12-30T11:38:52"/>
    <x v="0"/>
    <x v="0"/>
    <s v="BUY_TO_CLOSE"/>
    <s v="SPXW  260414C06950000"/>
    <s v="Equity Option"/>
    <s v="Bought 1 SPX 04/14/26 Call 6950.00 @ 3.67"/>
    <n v="-367.72"/>
    <n v="-367"/>
    <n v="1"/>
    <n v="-367"/>
    <n v="0"/>
    <n v="-0.72"/>
    <n v="100"/>
    <s v="SPXW"/>
    <s v="SPX"/>
    <d v="2026-04-14T00:00:00"/>
    <n v="6950"/>
    <x v="0"/>
    <n v="454137172"/>
    <s v="USD"/>
  </r>
  <r>
    <d v="2026-04-14T11:38:46"/>
    <x v="5"/>
    <d v="1899-12-30T11:38:46"/>
    <x v="0"/>
    <x v="1"/>
    <s v="SELL_TO_CLOSE"/>
    <s v="SPXW  260414C06965000"/>
    <s v="Equity Option"/>
    <s v="Sold 1 SPX 04/14/26 Call 6965.00 @ 1.60"/>
    <n v="159.28"/>
    <n v="160"/>
    <n v="1"/>
    <n v="160"/>
    <n v="0"/>
    <n v="-0.72"/>
    <n v="100"/>
    <s v="SPXW"/>
    <s v="SPX"/>
    <d v="2026-04-14T00:00:00"/>
    <n v="6965"/>
    <x v="0"/>
    <n v="454137172"/>
    <s v="USD"/>
  </r>
  <r>
    <d v="2026-04-14T11:38:46"/>
    <x v="5"/>
    <d v="1899-12-30T11:38:46"/>
    <x v="0"/>
    <x v="0"/>
    <s v="BUY_TO_CLOSE"/>
    <s v="SPXW  260414C06950000"/>
    <s v="Equity Option"/>
    <s v="Bought 1 SPX 04/14/26 Call 6950.00 @ 3.70"/>
    <n v="-370.72"/>
    <n v="-370"/>
    <n v="1"/>
    <n v="-370"/>
    <n v="0"/>
    <n v="-0.72"/>
    <n v="100"/>
    <s v="SPXW"/>
    <s v="SPX"/>
    <d v="2026-04-14T00:00:00"/>
    <n v="6950"/>
    <x v="0"/>
    <n v="454137172"/>
    <s v="USD"/>
  </r>
  <r>
    <d v="2026-04-14T11:30:56"/>
    <x v="5"/>
    <d v="1899-12-30T11:30:56"/>
    <x v="0"/>
    <x v="3"/>
    <s v="BUY_TO_OPEN"/>
    <s v="SPXW  260414C06965000"/>
    <s v="Equity Option"/>
    <s v="Bought 1 SPX 04/14/26 Call 6965.00 @ 1.70"/>
    <n v="-171.72"/>
    <n v="-170"/>
    <n v="1"/>
    <n v="-170"/>
    <n v="-1"/>
    <n v="-0.72"/>
    <n v="100"/>
    <s v="SPXW"/>
    <s v="SPX"/>
    <d v="2026-04-14T00:00:00"/>
    <n v="6965"/>
    <x v="0"/>
    <n v="454131070"/>
    <s v="USD"/>
  </r>
  <r>
    <d v="2026-04-14T11:30:56"/>
    <x v="5"/>
    <d v="1899-12-30T11:30:56"/>
    <x v="0"/>
    <x v="2"/>
    <s v="SELL_TO_OPEN"/>
    <s v="SPXW  260414C06950000"/>
    <s v="Equity Option"/>
    <s v="Sold 1 SPX 04/14/26 Call 6950.00 @ 3.95"/>
    <n v="393.28"/>
    <n v="395"/>
    <n v="1"/>
    <n v="395"/>
    <n v="-1"/>
    <n v="-0.72"/>
    <n v="100"/>
    <s v="SPXW"/>
    <s v="SPX"/>
    <d v="2026-04-14T00:00:00"/>
    <n v="6950"/>
    <x v="0"/>
    <n v="454131070"/>
    <s v="USD"/>
  </r>
  <r>
    <d v="2026-04-14T11:30:56"/>
    <x v="5"/>
    <d v="1899-12-30T11:30:56"/>
    <x v="0"/>
    <x v="3"/>
    <s v="BUY_TO_OPEN"/>
    <s v="SPXW  260414C06965000"/>
    <s v="Equity Option"/>
    <s v="Bought 1 SPX 04/14/26 Call 6965.00 @ 1.70"/>
    <n v="-171.72"/>
    <n v="-170"/>
    <n v="1"/>
    <n v="-170"/>
    <n v="-1"/>
    <n v="-0.72"/>
    <n v="100"/>
    <s v="SPXW"/>
    <s v="SPX"/>
    <d v="2026-04-14T00:00:00"/>
    <n v="6965"/>
    <x v="0"/>
    <n v="454131070"/>
    <s v="USD"/>
  </r>
  <r>
    <d v="2026-04-14T11:30:56"/>
    <x v="5"/>
    <d v="1899-12-30T11:30:56"/>
    <x v="0"/>
    <x v="2"/>
    <s v="SELL_TO_OPEN"/>
    <s v="SPXW  260414C06950000"/>
    <s v="Equity Option"/>
    <s v="Sold 1 SPX 04/14/26 Call 6950.00 @ 3.95"/>
    <n v="393.28"/>
    <n v="395"/>
    <n v="1"/>
    <n v="395"/>
    <n v="-1"/>
    <n v="-0.72"/>
    <n v="100"/>
    <s v="SPXW"/>
    <s v="SPX"/>
    <d v="2026-04-14T00:00:00"/>
    <n v="6950"/>
    <x v="0"/>
    <n v="454131070"/>
    <s v="USD"/>
  </r>
  <r>
    <d v="2026-04-11T16:14:08"/>
    <x v="6"/>
    <d v="1899-12-30T16:14:08"/>
    <x v="1"/>
    <x v="4"/>
    <s v=""/>
    <s v=""/>
    <s v=""/>
    <s v="Regulatory fee adjustment"/>
    <n v="0.11"/>
    <n v="0.11"/>
    <n v="0"/>
    <m/>
    <n v="0"/>
    <n v="0"/>
    <m/>
    <s v=""/>
    <s v=""/>
    <m/>
    <m/>
    <x v="1"/>
    <m/>
    <s v="USD"/>
  </r>
  <r>
    <d v="2026-04-09T14:37:24"/>
    <x v="7"/>
    <d v="1899-12-30T14:37:24"/>
    <x v="0"/>
    <x v="1"/>
    <s v="SELL_TO_CLOSE"/>
    <s v="SPXW  260409P06750000"/>
    <s v="Equity Option"/>
    <s v="Sold 2 SPX 04/09/26 Put 6750.00 @ 0.47"/>
    <n v="92.54"/>
    <n v="94"/>
    <n v="2"/>
    <n v="47"/>
    <n v="0"/>
    <n v="-1.46"/>
    <n v="100"/>
    <s v="SPXW"/>
    <s v="SPX"/>
    <d v="2026-04-09T00:00:00"/>
    <n v="6750"/>
    <x v="2"/>
    <n v="453144748"/>
    <s v="USD"/>
  </r>
  <r>
    <d v="2026-04-09T14:37:24"/>
    <x v="7"/>
    <d v="1899-12-30T14:37:24"/>
    <x v="0"/>
    <x v="0"/>
    <s v="BUY_TO_CLOSE"/>
    <s v="SPXW  260409P06790000"/>
    <s v="Equity Option"/>
    <s v="Bought 2 SPX 04/09/26 Put 6790.00 @ 1.07"/>
    <n v="-215.45"/>
    <n v="-214"/>
    <n v="2"/>
    <n v="-107"/>
    <n v="0"/>
    <n v="-1.45"/>
    <n v="100"/>
    <s v="SPXW"/>
    <s v="SPX"/>
    <d v="2026-04-09T00:00:00"/>
    <n v="6790"/>
    <x v="2"/>
    <n v="453144748"/>
    <s v="USD"/>
  </r>
  <r>
    <d v="2026-04-09T13:17:55"/>
    <x v="7"/>
    <d v="1899-12-30T13:17:55"/>
    <x v="0"/>
    <x v="1"/>
    <s v="SELL_TO_CLOSE"/>
    <s v="SPXW  260409P06680000"/>
    <s v="Equity Option"/>
    <s v="Sold 1 SPX 04/09/26 Put 6680.00 @ 0.27"/>
    <n v="26.28"/>
    <n v="27"/>
    <n v="1"/>
    <n v="27"/>
    <n v="0"/>
    <n v="-0.72"/>
    <n v="100"/>
    <s v="SPXW"/>
    <s v="SPX"/>
    <d v="2026-04-09T00:00:00"/>
    <n v="6680"/>
    <x v="2"/>
    <n v="453095985"/>
    <s v="USD"/>
  </r>
  <r>
    <d v="2026-04-09T13:17:55"/>
    <x v="7"/>
    <d v="1899-12-30T13:17:55"/>
    <x v="0"/>
    <x v="0"/>
    <s v="BUY_TO_CLOSE"/>
    <s v="SPXW  260409P06720000"/>
    <s v="Equity Option"/>
    <s v="Bought 1 SPX 04/09/26 Put 6720.00 @ 0.47"/>
    <n v="-47.72"/>
    <n v="-47"/>
    <n v="1"/>
    <n v="-47"/>
    <n v="0"/>
    <n v="-0.72"/>
    <n v="100"/>
    <s v="SPXW"/>
    <s v="SPX"/>
    <d v="2026-04-09T00:00:00"/>
    <n v="6720"/>
    <x v="2"/>
    <n v="453095985"/>
    <s v="USD"/>
  </r>
  <r>
    <d v="2026-04-09T13:17:55"/>
    <x v="7"/>
    <d v="1899-12-30T13:17:55"/>
    <x v="0"/>
    <x v="1"/>
    <s v="SELL_TO_CLOSE"/>
    <s v="SPXW  260409P06680000"/>
    <s v="Equity Option"/>
    <s v="Sold 1 SPX 04/09/26 Put 6680.00 @ 0.27"/>
    <n v="26.28"/>
    <n v="27"/>
    <n v="1"/>
    <n v="27"/>
    <n v="0"/>
    <n v="-0.72"/>
    <n v="100"/>
    <s v="SPXW"/>
    <s v="SPX"/>
    <d v="2026-04-09T00:00:00"/>
    <n v="6680"/>
    <x v="2"/>
    <n v="453095985"/>
    <s v="USD"/>
  </r>
  <r>
    <d v="2026-04-09T13:17:55"/>
    <x v="7"/>
    <d v="1899-12-30T13:17:55"/>
    <x v="0"/>
    <x v="0"/>
    <s v="BUY_TO_CLOSE"/>
    <s v="SPXW  260409P06720000"/>
    <s v="Equity Option"/>
    <s v="Bought 1 SPX 04/09/26 Put 6720.00 @ 0.47"/>
    <n v="-47.72"/>
    <n v="-47"/>
    <n v="1"/>
    <n v="-47"/>
    <n v="0"/>
    <n v="-0.72"/>
    <n v="100"/>
    <s v="SPXW"/>
    <s v="SPX"/>
    <d v="2026-04-09T00:00:00"/>
    <n v="6720"/>
    <x v="2"/>
    <n v="453095985"/>
    <s v="USD"/>
  </r>
  <r>
    <d v="2026-04-09T13:11:24"/>
    <x v="7"/>
    <d v="1899-12-30T13:11:24"/>
    <x v="0"/>
    <x v="3"/>
    <s v="BUY_TO_OPEN"/>
    <s v="SPXW  260409P06750000"/>
    <s v="Equity Option"/>
    <s v="Bought 2 SPX 04/09/26 Put 6750.00 @ 0.82"/>
    <n v="-167.45"/>
    <n v="-164"/>
    <n v="2"/>
    <n v="-82"/>
    <n v="-2"/>
    <n v="-1.45"/>
    <n v="100"/>
    <s v="SPXW"/>
    <s v="SPX"/>
    <d v="2026-04-09T00:00:00"/>
    <n v="6750"/>
    <x v="2"/>
    <n v="453090692"/>
    <s v="USD"/>
  </r>
  <r>
    <d v="2026-04-09T13:11:24"/>
    <x v="7"/>
    <d v="1899-12-30T13:11:24"/>
    <x v="0"/>
    <x v="2"/>
    <s v="SELL_TO_OPEN"/>
    <s v="SPXW  260409P06790000"/>
    <s v="Equity Option"/>
    <s v="Sold 2 SPX 04/09/26 Put 6790.00 @ 3.12"/>
    <n v="620.54"/>
    <n v="624"/>
    <n v="2"/>
    <n v="312"/>
    <n v="-2"/>
    <n v="-1.46"/>
    <n v="100"/>
    <s v="SPXW"/>
    <s v="SPX"/>
    <d v="2026-04-09T00:00:00"/>
    <n v="6790"/>
    <x v="2"/>
    <n v="453090692"/>
    <s v="USD"/>
  </r>
  <r>
    <d v="2026-04-09T12:48:12"/>
    <x v="7"/>
    <d v="1899-12-30T12:48:12"/>
    <x v="0"/>
    <x v="1"/>
    <s v="SELL_TO_CLOSE"/>
    <s v="SPXW  260409C06880000"/>
    <s v="Equity Option"/>
    <s v="Sold 1 SPX 04/09/26 Call 6880.00 @ 1.07"/>
    <n v="106.28"/>
    <n v="107"/>
    <n v="1"/>
    <n v="107"/>
    <n v="0"/>
    <n v="-0.72"/>
    <n v="100"/>
    <s v="SPXW"/>
    <s v="SPX"/>
    <d v="2026-04-09T00:00:00"/>
    <n v="6880"/>
    <x v="0"/>
    <n v="453063408"/>
    <s v="USD"/>
  </r>
  <r>
    <d v="2026-04-09T12:48:12"/>
    <x v="7"/>
    <d v="1899-12-30T12:48:12"/>
    <x v="0"/>
    <x v="0"/>
    <s v="BUY_TO_CLOSE"/>
    <s v="SPXW  260409C06840000"/>
    <s v="Equity Option"/>
    <s v="Bought 1 SPX 04/09/26 Call 6840.00 @ 3.72"/>
    <n v="-372.72"/>
    <n v="-372"/>
    <n v="1"/>
    <n v="-372"/>
    <n v="0"/>
    <n v="-0.72"/>
    <n v="100"/>
    <s v="SPXW"/>
    <s v="SPX"/>
    <d v="2026-04-09T00:00:00"/>
    <n v="6840"/>
    <x v="0"/>
    <n v="453063408"/>
    <s v="USD"/>
  </r>
  <r>
    <d v="2026-04-09T12:48:12"/>
    <x v="7"/>
    <d v="1899-12-30T12:48:12"/>
    <x v="0"/>
    <x v="1"/>
    <s v="SELL_TO_CLOSE"/>
    <s v="SPXW  260409C06880000"/>
    <s v="Equity Option"/>
    <s v="Sold 1 SPX 04/09/26 Call 6880.00 @ 1.07"/>
    <n v="106.28"/>
    <n v="107"/>
    <n v="1"/>
    <n v="107"/>
    <n v="0"/>
    <n v="-0.72"/>
    <n v="100"/>
    <s v="SPXW"/>
    <s v="SPX"/>
    <d v="2026-04-09T00:00:00"/>
    <n v="6880"/>
    <x v="0"/>
    <n v="453063408"/>
    <s v="USD"/>
  </r>
  <r>
    <d v="2026-04-09T12:48:12"/>
    <x v="7"/>
    <d v="1899-12-30T12:48:12"/>
    <x v="0"/>
    <x v="0"/>
    <s v="BUY_TO_CLOSE"/>
    <s v="SPXW  260409C06840000"/>
    <s v="Equity Option"/>
    <s v="Bought 1 SPX 04/09/26 Call 6840.00 @ 3.72"/>
    <n v="-372.72"/>
    <n v="-372"/>
    <n v="1"/>
    <n v="-372"/>
    <n v="0"/>
    <n v="-0.72"/>
    <n v="100"/>
    <s v="SPXW"/>
    <s v="SPX"/>
    <d v="2026-04-09T00:00:00"/>
    <n v="6840"/>
    <x v="0"/>
    <n v="453063408"/>
    <s v="USD"/>
  </r>
  <r>
    <d v="2026-04-09T12:35:51"/>
    <x v="7"/>
    <d v="1899-12-30T12:35:51"/>
    <x v="0"/>
    <x v="3"/>
    <s v="BUY_TO_OPEN"/>
    <s v="SPXW  260409C06880000"/>
    <s v="Equity Option"/>
    <s v="Bought 1 SPX 04/09/26 Call 6880.00 @ 0.70"/>
    <n v="-71.72"/>
    <n v="-70"/>
    <n v="1"/>
    <n v="-70"/>
    <n v="-1"/>
    <n v="-0.72"/>
    <n v="100"/>
    <s v="SPXW"/>
    <s v="SPX"/>
    <d v="2026-04-09T00:00:00"/>
    <n v="6880"/>
    <x v="0"/>
    <n v="453059380"/>
    <s v="USD"/>
  </r>
  <r>
    <d v="2026-04-09T12:35:51"/>
    <x v="7"/>
    <d v="1899-12-30T12:35:51"/>
    <x v="0"/>
    <x v="2"/>
    <s v="SELL_TO_OPEN"/>
    <s v="SPXW  260409C06840000"/>
    <s v="Equity Option"/>
    <s v="Sold 1 SPX 04/09/26 Call 6840.00 @ 2.55"/>
    <n v="253.28"/>
    <n v="255"/>
    <n v="1"/>
    <n v="255"/>
    <n v="-1"/>
    <n v="-0.72"/>
    <n v="100"/>
    <s v="SPXW"/>
    <s v="SPX"/>
    <d v="2026-04-09T00:00:00"/>
    <n v="6840"/>
    <x v="0"/>
    <n v="453059380"/>
    <s v="USD"/>
  </r>
  <r>
    <d v="2026-04-09T12:35:03"/>
    <x v="7"/>
    <d v="1899-12-30T12:35:03"/>
    <x v="0"/>
    <x v="3"/>
    <s v="BUY_TO_OPEN"/>
    <s v="SPXW  260409C06880000"/>
    <s v="Equity Option"/>
    <s v="Bought 1 SPX 04/09/26 Call 6880.00 @ 0.62"/>
    <n v="-63.72"/>
    <n v="-62"/>
    <n v="1"/>
    <n v="-62"/>
    <n v="-1"/>
    <n v="-0.72"/>
    <n v="100"/>
    <s v="SPXW"/>
    <s v="SPX"/>
    <d v="2026-04-09T00:00:00"/>
    <n v="6880"/>
    <x v="0"/>
    <n v="453058780"/>
    <s v="USD"/>
  </r>
  <r>
    <d v="2026-04-09T12:35:03"/>
    <x v="7"/>
    <d v="1899-12-30T12:35:03"/>
    <x v="0"/>
    <x v="2"/>
    <s v="SELL_TO_OPEN"/>
    <s v="SPXW  260409C06840000"/>
    <s v="Equity Option"/>
    <s v="Sold 1 SPX 04/09/26 Call 6840.00 @ 2.27"/>
    <n v="225.28"/>
    <n v="227"/>
    <n v="1"/>
    <n v="227"/>
    <n v="-1"/>
    <n v="-0.72"/>
    <n v="100"/>
    <s v="SPXW"/>
    <s v="SPX"/>
    <d v="2026-04-09T00:00:00"/>
    <n v="6840"/>
    <x v="0"/>
    <n v="453058780"/>
    <s v="USD"/>
  </r>
  <r>
    <d v="2026-04-09T12:32:46"/>
    <x v="7"/>
    <d v="1899-12-30T12:32:46"/>
    <x v="0"/>
    <x v="0"/>
    <s v="BUY_TO_CLOSE"/>
    <s v="SPXW  260409C06825000"/>
    <s v="Equity Option"/>
    <s v="Bought 1 SPX 04/09/26 Call 6825.00 @ 3.67"/>
    <n v="-367.72"/>
    <n v="-367"/>
    <n v="1"/>
    <n v="-367"/>
    <n v="0"/>
    <n v="-0.72"/>
    <n v="100"/>
    <s v="SPXW"/>
    <s v="SPX"/>
    <d v="2026-04-09T00:00:00"/>
    <n v="6825"/>
    <x v="0"/>
    <n v="453054251"/>
    <s v="USD"/>
  </r>
  <r>
    <d v="2026-04-09T12:32:46"/>
    <x v="7"/>
    <d v="1899-12-30T12:32:46"/>
    <x v="0"/>
    <x v="1"/>
    <s v="SELL_TO_CLOSE"/>
    <s v="SPXW  260409C06875000"/>
    <s v="Equity Option"/>
    <s v="Sold 1 SPX 04/09/26 Call 6875.00 @ 0.82"/>
    <n v="81.28"/>
    <n v="82"/>
    <n v="1"/>
    <n v="82"/>
    <n v="0"/>
    <n v="-0.72"/>
    <n v="100"/>
    <s v="SPXW"/>
    <s v="SPX"/>
    <d v="2026-04-09T00:00:00"/>
    <n v="6875"/>
    <x v="0"/>
    <n v="453054251"/>
    <s v="USD"/>
  </r>
  <r>
    <d v="2026-04-09T12:32:46"/>
    <x v="7"/>
    <d v="1899-12-30T12:32:46"/>
    <x v="0"/>
    <x v="1"/>
    <s v="SELL_TO_CLOSE"/>
    <s v="SPXW  260409C06875000"/>
    <s v="Equity Option"/>
    <s v="Sold 1 SPX 04/09/26 Call 6875.00 @ 0.82"/>
    <n v="81.28"/>
    <n v="82"/>
    <n v="1"/>
    <n v="82"/>
    <n v="0"/>
    <n v="-0.72"/>
    <n v="100"/>
    <s v="SPXW"/>
    <s v="SPX"/>
    <d v="2026-04-09T00:00:00"/>
    <n v="6875"/>
    <x v="0"/>
    <n v="453054251"/>
    <s v="USD"/>
  </r>
  <r>
    <d v="2026-04-09T12:32:46"/>
    <x v="7"/>
    <d v="1899-12-30T12:32:46"/>
    <x v="0"/>
    <x v="0"/>
    <s v="BUY_TO_CLOSE"/>
    <s v="SPXW  260409C06825000"/>
    <s v="Equity Option"/>
    <s v="Bought 1 SPX 04/09/26 Call 6825.00 @ 3.67"/>
    <n v="-367.72"/>
    <n v="-367"/>
    <n v="1"/>
    <n v="-367"/>
    <n v="0"/>
    <n v="-0.72"/>
    <n v="100"/>
    <s v="SPXW"/>
    <s v="SPX"/>
    <d v="2026-04-09T00:00:00"/>
    <n v="6825"/>
    <x v="0"/>
    <n v="453054251"/>
    <s v="USD"/>
  </r>
  <r>
    <d v="2026-04-09T12:24:27"/>
    <x v="7"/>
    <d v="1899-12-30T12:24:27"/>
    <x v="0"/>
    <x v="3"/>
    <s v="BUY_TO_OPEN"/>
    <s v="SPXW  260409C06875000"/>
    <s v="Equity Option"/>
    <s v="Bought 2 SPX 04/09/26 Call 6875.00 @ 0.37"/>
    <n v="-77.45"/>
    <n v="-74"/>
    <n v="2"/>
    <n v="-37"/>
    <n v="-2"/>
    <n v="-1.45"/>
    <n v="100"/>
    <s v="SPXW"/>
    <s v="SPX"/>
    <d v="2026-04-09T00:00:00"/>
    <n v="6875"/>
    <x v="0"/>
    <n v="453049901"/>
    <s v="USD"/>
  </r>
  <r>
    <d v="2026-04-09T12:24:27"/>
    <x v="7"/>
    <d v="1899-12-30T12:24:27"/>
    <x v="0"/>
    <x v="2"/>
    <s v="SELL_TO_OPEN"/>
    <s v="SPXW  260409C06825000"/>
    <s v="Equity Option"/>
    <s v="Sold 2 SPX 04/09/26 Call 6825.00 @ 1.57"/>
    <n v="310.54000000000002"/>
    <n v="314"/>
    <n v="2"/>
    <n v="157"/>
    <n v="-2"/>
    <n v="-1.46"/>
    <n v="100"/>
    <s v="SPXW"/>
    <s v="SPX"/>
    <d v="2026-04-09T00:00:00"/>
    <n v="6825"/>
    <x v="0"/>
    <n v="453049901"/>
    <s v="USD"/>
  </r>
  <r>
    <d v="2026-04-09T12:16:00"/>
    <x v="7"/>
    <d v="1899-12-30T12:16:00"/>
    <x v="0"/>
    <x v="1"/>
    <s v="SELL_TO_CLOSE"/>
    <s v="SPXW  260409C06860000"/>
    <s v="Equity Option"/>
    <s v="Sold 1 SPX 04/09/26 Call 6860.00 @ 0.47"/>
    <n v="46.28"/>
    <n v="47"/>
    <n v="1"/>
    <n v="47"/>
    <n v="0"/>
    <n v="-0.72"/>
    <n v="100"/>
    <s v="SPXW"/>
    <s v="SPX"/>
    <d v="2026-04-09T00:00:00"/>
    <n v="6860"/>
    <x v="0"/>
    <n v="453005382"/>
    <s v="USD"/>
  </r>
  <r>
    <d v="2026-04-09T12:16:00"/>
    <x v="7"/>
    <d v="1899-12-30T12:16:00"/>
    <x v="0"/>
    <x v="0"/>
    <s v="BUY_TO_CLOSE"/>
    <s v="SPXW  260409C06805000"/>
    <s v="Equity Option"/>
    <s v="Bought 1 SPX 04/09/26 Call 6805.00 @ 3.12"/>
    <n v="-312.72000000000003"/>
    <n v="-312"/>
    <n v="1"/>
    <n v="-312"/>
    <n v="0"/>
    <n v="-0.72"/>
    <n v="100"/>
    <s v="SPXW"/>
    <s v="SPX"/>
    <d v="2026-04-09T00:00:00"/>
    <n v="6805"/>
    <x v="0"/>
    <n v="453005382"/>
    <s v="USD"/>
  </r>
  <r>
    <d v="2026-04-09T12:16:00"/>
    <x v="7"/>
    <d v="1899-12-30T12:16:00"/>
    <x v="0"/>
    <x v="1"/>
    <s v="SELL_TO_CLOSE"/>
    <s v="SPXW  260409C06860000"/>
    <s v="Equity Option"/>
    <s v="Sold 1 SPX 04/09/26 Call 6860.00 @ 0.47"/>
    <n v="46.28"/>
    <n v="47"/>
    <n v="1"/>
    <n v="47"/>
    <n v="0"/>
    <n v="-0.72"/>
    <n v="100"/>
    <s v="SPXW"/>
    <s v="SPX"/>
    <d v="2026-04-09T00:00:00"/>
    <n v="6860"/>
    <x v="0"/>
    <n v="453005382"/>
    <s v="USD"/>
  </r>
  <r>
    <d v="2026-04-09T12:16:00"/>
    <x v="7"/>
    <d v="1899-12-30T12:16:00"/>
    <x v="0"/>
    <x v="0"/>
    <s v="BUY_TO_CLOSE"/>
    <s v="SPXW  260409C06805000"/>
    <s v="Equity Option"/>
    <s v="Bought 1 SPX 04/09/26 Call 6805.00 @ 3.12"/>
    <n v="-312.72000000000003"/>
    <n v="-312"/>
    <n v="1"/>
    <n v="-312"/>
    <n v="0"/>
    <n v="-0.72"/>
    <n v="100"/>
    <s v="SPXW"/>
    <s v="SPX"/>
    <d v="2026-04-09T00:00:00"/>
    <n v="6805"/>
    <x v="0"/>
    <n v="453005382"/>
    <s v="USD"/>
  </r>
  <r>
    <d v="2026-04-09T11:24:01"/>
    <x v="7"/>
    <d v="1899-12-30T11:24:01"/>
    <x v="0"/>
    <x v="3"/>
    <s v="BUY_TO_OPEN"/>
    <s v="SPXW  260409C06860000"/>
    <s v="Equity Option"/>
    <s v="Bought 2 SPX 04/09/26 Call 6860.00 @ 0.42"/>
    <n v="-87.45"/>
    <n v="-84"/>
    <n v="2"/>
    <n v="-42"/>
    <n v="-2"/>
    <n v="-1.45"/>
    <n v="100"/>
    <s v="SPXW"/>
    <s v="SPX"/>
    <d v="2026-04-09T00:00:00"/>
    <n v="6860"/>
    <x v="0"/>
    <n v="452999277"/>
    <s v="USD"/>
  </r>
  <r>
    <d v="2026-04-09T11:24:01"/>
    <x v="7"/>
    <d v="1899-12-30T11:24:01"/>
    <x v="0"/>
    <x v="2"/>
    <s v="SELL_TO_OPEN"/>
    <s v="SPXW  260409C06805000"/>
    <s v="Equity Option"/>
    <s v="Sold 2 SPX 04/09/26 Call 6805.00 @ 1.87"/>
    <n v="370.54"/>
    <n v="374"/>
    <n v="2"/>
    <n v="187"/>
    <n v="-2"/>
    <n v="-1.46"/>
    <n v="100"/>
    <s v="SPXW"/>
    <s v="SPX"/>
    <d v="2026-04-09T00:00:00"/>
    <n v="6805"/>
    <x v="0"/>
    <n v="452999277"/>
    <s v="USD"/>
  </r>
  <r>
    <d v="2026-04-09T11:20:16"/>
    <x v="7"/>
    <d v="1899-12-30T11:20:16"/>
    <x v="0"/>
    <x v="2"/>
    <s v="SELL_TO_OPEN"/>
    <s v="SPXW  260409P06720000"/>
    <s v="Equity Option"/>
    <s v="Sold 2 SPX 04/09/26 Put 6720.00 @ 2.27"/>
    <n v="450.54"/>
    <n v="454"/>
    <n v="2"/>
    <n v="227"/>
    <n v="-2"/>
    <n v="-1.46"/>
    <n v="100"/>
    <s v="SPXW"/>
    <s v="SPX"/>
    <d v="2026-04-09T00:00:00"/>
    <n v="6720"/>
    <x v="2"/>
    <n v="452995459"/>
    <s v="USD"/>
  </r>
  <r>
    <d v="2026-04-09T11:20:16"/>
    <x v="7"/>
    <d v="1899-12-30T11:20:16"/>
    <x v="0"/>
    <x v="3"/>
    <s v="BUY_TO_OPEN"/>
    <s v="SPXW  260409P06680000"/>
    <s v="Equity Option"/>
    <s v="Bought 2 SPX 04/09/26 Put 6680.00 @ 0.87"/>
    <n v="-177.45"/>
    <n v="-174"/>
    <n v="2"/>
    <n v="-87"/>
    <n v="-2"/>
    <n v="-1.45"/>
    <n v="100"/>
    <s v="SPXW"/>
    <s v="SPX"/>
    <d v="2026-04-09T00:00:00"/>
    <n v="6680"/>
    <x v="2"/>
    <n v="452995459"/>
    <s v="USD"/>
  </r>
  <r>
    <d v="2026-04-08T12:07:03"/>
    <x v="8"/>
    <d v="1899-12-30T12:07:03"/>
    <x v="0"/>
    <x v="1"/>
    <s v="SELL_TO_CLOSE"/>
    <s v="SPXW  260408P06680000"/>
    <s v="Equity Option"/>
    <s v="Sold 2 SPX 04/08/26 Put 6680.00 @ 1.72"/>
    <n v="342.54"/>
    <n v="344"/>
    <n v="2"/>
    <n v="172"/>
    <n v="0"/>
    <n v="-1.46"/>
    <n v="100"/>
    <s v="SPXW"/>
    <s v="SPX"/>
    <d v="2026-04-08T00:00:00"/>
    <n v="6680"/>
    <x v="2"/>
    <n v="452686040"/>
    <s v="USD"/>
  </r>
  <r>
    <d v="2026-04-08T12:07:03"/>
    <x v="8"/>
    <d v="1899-12-30T12:07:03"/>
    <x v="0"/>
    <x v="0"/>
    <s v="BUY_TO_CLOSE"/>
    <s v="SPXW  260408P06720000"/>
    <s v="Equity Option"/>
    <s v="Bought 2 SPX 04/08/26 Put 6720.00 @ 4.62"/>
    <n v="-925.45"/>
    <n v="-924"/>
    <n v="2"/>
    <n v="-462"/>
    <n v="0"/>
    <n v="-1.45"/>
    <n v="100"/>
    <s v="SPXW"/>
    <s v="SPX"/>
    <d v="2026-04-08T00:00:00"/>
    <n v="6720"/>
    <x v="2"/>
    <n v="452686040"/>
    <s v="USD"/>
  </r>
  <r>
    <d v="2026-04-08T10:39:48"/>
    <x v="8"/>
    <d v="1899-12-30T10:39:48"/>
    <x v="0"/>
    <x v="2"/>
    <s v="SELL_TO_OPEN"/>
    <s v="SPXW  260408P06720000"/>
    <s v="Equity Option"/>
    <s v="Sold 1 SPX 04/08/26 Put 6720.00 @ 5.93"/>
    <n v="591.28"/>
    <n v="593"/>
    <n v="1"/>
    <n v="593"/>
    <n v="-1"/>
    <n v="-0.72"/>
    <n v="100"/>
    <s v="SPXW"/>
    <s v="SPX"/>
    <d v="2026-04-08T00:00:00"/>
    <n v="6720"/>
    <x v="2"/>
    <n v="452567556"/>
    <s v="USD"/>
  </r>
  <r>
    <d v="2026-04-08T10:39:48"/>
    <x v="8"/>
    <d v="1899-12-30T10:39:48"/>
    <x v="0"/>
    <x v="3"/>
    <s v="BUY_TO_OPEN"/>
    <s v="SPXW  260408P06680000"/>
    <s v="Equity Option"/>
    <s v="Bought 1 SPX 04/08/26 Put 6680.00 @ 3.03"/>
    <n v="-304.72000000000003"/>
    <n v="-303"/>
    <n v="1"/>
    <n v="-303"/>
    <n v="-1"/>
    <n v="-0.72"/>
    <n v="100"/>
    <s v="SPXW"/>
    <s v="SPX"/>
    <d v="2026-04-08T00:00:00"/>
    <n v="6680"/>
    <x v="2"/>
    <n v="452567556"/>
    <s v="USD"/>
  </r>
  <r>
    <d v="2026-04-08T10:39:48"/>
    <x v="8"/>
    <d v="1899-12-30T10:39:48"/>
    <x v="0"/>
    <x v="2"/>
    <s v="SELL_TO_OPEN"/>
    <s v="SPXW  260408P06720000"/>
    <s v="Equity Option"/>
    <s v="Sold 1 SPX 04/08/26 Put 6720.00 @ 5.93"/>
    <n v="591.28"/>
    <n v="593"/>
    <n v="1"/>
    <n v="593"/>
    <n v="-1"/>
    <n v="-0.72"/>
    <n v="100"/>
    <s v="SPXW"/>
    <s v="SPX"/>
    <d v="2026-04-08T00:00:00"/>
    <n v="6720"/>
    <x v="2"/>
    <n v="452567556"/>
    <s v="USD"/>
  </r>
  <r>
    <d v="2026-04-08T10:39:48"/>
    <x v="8"/>
    <d v="1899-12-30T10:39:48"/>
    <x v="0"/>
    <x v="3"/>
    <s v="BUY_TO_OPEN"/>
    <s v="SPXW  260408P06680000"/>
    <s v="Equity Option"/>
    <s v="Bought 1 SPX 04/08/26 Put 6680.00 @ 3.03"/>
    <n v="-304.72000000000003"/>
    <n v="-303"/>
    <n v="1"/>
    <n v="-303"/>
    <n v="-1"/>
    <n v="-0.72"/>
    <n v="100"/>
    <s v="SPXW"/>
    <s v="SPX"/>
    <d v="2026-04-08T00:00:00"/>
    <n v="6680"/>
    <x v="2"/>
    <n v="452567556"/>
    <s v="USD"/>
  </r>
  <r>
    <d v="2026-04-07T14:55:51"/>
    <x v="9"/>
    <d v="1899-12-30T14:55:51"/>
    <x v="0"/>
    <x v="1"/>
    <s v="SELL_TO_CLOSE"/>
    <s v="SPXW  260407P06460000"/>
    <s v="Equity Option"/>
    <s v="Sold 2 SPX 04/07/26 Put 6460.00 @ 0.12"/>
    <n v="22.54"/>
    <n v="24"/>
    <n v="2"/>
    <n v="12"/>
    <n v="0"/>
    <n v="-1.46"/>
    <n v="100"/>
    <s v="SPXW"/>
    <s v="SPX"/>
    <d v="2026-04-07T00:00:00"/>
    <n v="6460"/>
    <x v="2"/>
    <n v="452368492"/>
    <s v="USD"/>
  </r>
  <r>
    <d v="2026-04-07T14:55:51"/>
    <x v="9"/>
    <d v="1899-12-30T14:55:51"/>
    <x v="0"/>
    <x v="1"/>
    <s v="SELL_TO_CLOSE"/>
    <s v="SPXW  260407C06660000"/>
    <s v="Equity Option"/>
    <s v="Sold 2 SPX 04/07/26 Call 6660.00 @ 0.60"/>
    <n v="118.54"/>
    <n v="120"/>
    <n v="2"/>
    <n v="60"/>
    <n v="0"/>
    <n v="-1.46"/>
    <n v="100"/>
    <s v="SPXW"/>
    <s v="SPX"/>
    <d v="2026-04-07T00:00:00"/>
    <n v="6660"/>
    <x v="0"/>
    <n v="452368492"/>
    <s v="USD"/>
  </r>
  <r>
    <d v="2026-04-07T14:55:51"/>
    <x v="9"/>
    <d v="1899-12-30T14:55:51"/>
    <x v="0"/>
    <x v="0"/>
    <s v="BUY_TO_CLOSE"/>
    <s v="SPXW  260407P06500000"/>
    <s v="Equity Option"/>
    <s v="Bought 2 SPX 04/07/26 Put 6500.00 @ 0.22"/>
    <n v="-45.45"/>
    <n v="-44"/>
    <n v="2"/>
    <n v="-22"/>
    <n v="0"/>
    <n v="-1.45"/>
    <n v="100"/>
    <s v="SPXW"/>
    <s v="SPX"/>
    <d v="2026-04-07T00:00:00"/>
    <n v="6500"/>
    <x v="2"/>
    <n v="452368492"/>
    <s v="USD"/>
  </r>
  <r>
    <d v="2026-04-07T14:55:51"/>
    <x v="9"/>
    <d v="1899-12-30T14:55:51"/>
    <x v="0"/>
    <x v="0"/>
    <s v="BUY_TO_CLOSE"/>
    <s v="SPXW  260407C06620000"/>
    <s v="Equity Option"/>
    <s v="Bought 2 SPX 04/07/26 Call 6620.00 @ 2.25"/>
    <n v="-451.45"/>
    <n v="-450"/>
    <n v="2"/>
    <n v="-225"/>
    <n v="0"/>
    <n v="-1.45"/>
    <n v="100"/>
    <s v="SPXW"/>
    <s v="SPX"/>
    <d v="2026-04-07T00:00:00"/>
    <n v="6620"/>
    <x v="0"/>
    <n v="452368492"/>
    <s v="USD"/>
  </r>
  <r>
    <d v="2026-04-07T11:38:32"/>
    <x v="9"/>
    <d v="1899-12-30T11:38:32"/>
    <x v="0"/>
    <x v="3"/>
    <s v="BUY_TO_OPEN"/>
    <s v="SPXW  260407C06660000"/>
    <s v="Equity Option"/>
    <s v="Bought 2 SPX 04/07/26 Call 6660.00 @ 1.33"/>
    <n v="-269.45"/>
    <n v="-266"/>
    <n v="2"/>
    <n v="-133"/>
    <n v="-2"/>
    <n v="-1.45"/>
    <n v="100"/>
    <s v="SPXW"/>
    <s v="SPX"/>
    <d v="2026-04-07T00:00:00"/>
    <n v="6660"/>
    <x v="0"/>
    <n v="452264444"/>
    <s v="USD"/>
  </r>
  <r>
    <d v="2026-04-07T11:38:32"/>
    <x v="9"/>
    <d v="1899-12-30T11:38:32"/>
    <x v="0"/>
    <x v="2"/>
    <s v="SELL_TO_OPEN"/>
    <s v="SPXW  260407C06620000"/>
    <s v="Equity Option"/>
    <s v="Sold 2 SPX 04/07/26 Call 6620.00 @ 3.93"/>
    <n v="782.54"/>
    <n v="786"/>
    <n v="2"/>
    <n v="393"/>
    <n v="-2"/>
    <n v="-1.46"/>
    <n v="100"/>
    <s v="SPXW"/>
    <s v="SPX"/>
    <d v="2026-04-07T00:00:00"/>
    <n v="6620"/>
    <x v="0"/>
    <n v="452264444"/>
    <s v="USD"/>
  </r>
  <r>
    <d v="2026-04-07T11:05:05"/>
    <x v="9"/>
    <d v="1899-12-30T11:05:05"/>
    <x v="0"/>
    <x v="3"/>
    <s v="BUY_TO_OPEN"/>
    <s v="SPXW  260407P06460000"/>
    <s v="Equity Option"/>
    <s v="Bought 2 SPX 04/07/26 Put 6460.00 @ 1.37"/>
    <n v="-277.45"/>
    <n v="-274"/>
    <n v="2"/>
    <n v="-137"/>
    <n v="-2"/>
    <n v="-1.45"/>
    <n v="100"/>
    <s v="SPXW"/>
    <s v="SPX"/>
    <d v="2026-04-07T00:00:00"/>
    <n v="6460"/>
    <x v="2"/>
    <n v="452231617"/>
    <s v="USD"/>
  </r>
  <r>
    <d v="2026-04-07T11:05:05"/>
    <x v="9"/>
    <d v="1899-12-30T11:05:05"/>
    <x v="0"/>
    <x v="2"/>
    <s v="SELL_TO_OPEN"/>
    <s v="SPXW  260407P06500000"/>
    <s v="Equity Option"/>
    <s v="Sold 2 SPX 04/07/26 Put 6500.00 @ 4.07"/>
    <n v="810.54"/>
    <n v="814"/>
    <n v="2"/>
    <n v="407"/>
    <n v="-2"/>
    <n v="-1.46"/>
    <n v="100"/>
    <s v="SPXW"/>
    <s v="SPX"/>
    <d v="2026-04-07T00:00:00"/>
    <n v="6500"/>
    <x v="2"/>
    <n v="452231617"/>
    <s v="USD"/>
  </r>
  <r>
    <d v="2026-04-04T18:12:17"/>
    <x v="10"/>
    <d v="1899-12-30T18:12:17"/>
    <x v="1"/>
    <x v="6"/>
    <s v=""/>
    <s v=""/>
    <s v=""/>
    <s v="Digital Asset Fund Conversion Deposit of 986.31 USDC/USD"/>
    <n v="983.35"/>
    <n v="983.35"/>
    <n v="0"/>
    <m/>
    <n v="0"/>
    <n v="0"/>
    <m/>
    <s v=""/>
    <s v=""/>
    <m/>
    <m/>
    <x v="1"/>
    <m/>
    <s v="USD"/>
  </r>
  <r>
    <d v="2026-04-02T18:00:00"/>
    <x v="11"/>
    <d v="1899-12-30T18:00:00"/>
    <x v="1"/>
    <x v="6"/>
    <s v=""/>
    <s v=""/>
    <s v=""/>
    <s v="Wire Funds Received"/>
    <n v="7030.41"/>
    <n v="7030.41"/>
    <n v="0"/>
    <m/>
    <n v="0"/>
    <n v="0"/>
    <m/>
    <s v=""/>
    <s v=""/>
    <m/>
    <m/>
    <x v="1"/>
    <m/>
    <s v="USD"/>
  </r>
  <r>
    <d v="2026-03-28T15:56:37"/>
    <x v="12"/>
    <d v="1899-12-30T15:56:37"/>
    <x v="1"/>
    <x v="4"/>
    <s v=""/>
    <s v=""/>
    <s v=""/>
    <s v="Regulatory fee adjustment"/>
    <n v="7.0000000000000007E-2"/>
    <n v="7.0000000000000007E-2"/>
    <n v="0"/>
    <m/>
    <n v="0"/>
    <n v="0"/>
    <m/>
    <s v=""/>
    <s v=""/>
    <m/>
    <m/>
    <x v="1"/>
    <m/>
    <s v="USD"/>
  </r>
  <r>
    <d v="2026-03-27T15:12:41"/>
    <x v="13"/>
    <d v="1899-12-30T15:12:41"/>
    <x v="0"/>
    <x v="1"/>
    <s v="SELL_TO_CLOSE"/>
    <s v="SPXW  260327P06310000"/>
    <s v="Equity Option"/>
    <s v="Sold 2 SPX 03/27/26 Put 6310.00 @ 0.82"/>
    <n v="162.54"/>
    <n v="164"/>
    <n v="2"/>
    <n v="82"/>
    <n v="0"/>
    <n v="-1.46"/>
    <n v="100"/>
    <s v="SPXW"/>
    <s v="SPX"/>
    <d v="2026-03-27T00:00:00"/>
    <n v="6310"/>
    <x v="2"/>
    <n v="450246733"/>
    <s v="USD"/>
  </r>
  <r>
    <d v="2026-03-27T15:12:41"/>
    <x v="13"/>
    <d v="1899-12-30T15:12:41"/>
    <x v="0"/>
    <x v="1"/>
    <s v="SELL_TO_CLOSE"/>
    <s v="SPXW  260327C06555000"/>
    <s v="Equity Option"/>
    <s v="Sold 2 SPX 03/27/26 Call 6555.00 @ 0.22"/>
    <n v="42.54"/>
    <n v="44"/>
    <n v="2"/>
    <n v="22"/>
    <n v="0"/>
    <n v="-1.46"/>
    <n v="100"/>
    <s v="SPXW"/>
    <s v="SPX"/>
    <d v="2026-03-27T00:00:00"/>
    <n v="6555"/>
    <x v="0"/>
    <n v="450246733"/>
    <s v="USD"/>
  </r>
  <r>
    <d v="2026-03-27T15:12:41"/>
    <x v="13"/>
    <d v="1899-12-30T15:12:41"/>
    <x v="0"/>
    <x v="0"/>
    <s v="BUY_TO_CLOSE"/>
    <s v="SPXW  260327P06350000"/>
    <s v="Equity Option"/>
    <s v="Bought 2 SPX 03/27/26 Put 6350.00 @ 4.06"/>
    <n v="-813.45"/>
    <n v="-812"/>
    <n v="2"/>
    <n v="-406"/>
    <n v="0"/>
    <n v="-1.45"/>
    <n v="100"/>
    <s v="SPXW"/>
    <s v="SPX"/>
    <d v="2026-03-27T00:00:00"/>
    <n v="6350"/>
    <x v="2"/>
    <n v="450246733"/>
    <s v="USD"/>
  </r>
  <r>
    <d v="2026-03-27T15:12:41"/>
    <x v="13"/>
    <d v="1899-12-30T15:12:41"/>
    <x v="0"/>
    <x v="0"/>
    <s v="BUY_TO_CLOSE"/>
    <s v="SPXW  260327C06515000"/>
    <s v="Equity Option"/>
    <s v="Bought 2 SPX 03/27/26 Call 6515.00 @ 0.38"/>
    <n v="-77.45"/>
    <n v="-76"/>
    <n v="2"/>
    <n v="-38"/>
    <n v="0"/>
    <n v="-1.45"/>
    <n v="100"/>
    <s v="SPXW"/>
    <s v="SPX"/>
    <d v="2026-03-27T00:00:00"/>
    <n v="6515"/>
    <x v="0"/>
    <n v="450246733"/>
    <s v="USD"/>
  </r>
  <r>
    <d v="2026-03-27T10:51:52"/>
    <x v="13"/>
    <d v="1899-12-30T10:51:52"/>
    <x v="0"/>
    <x v="3"/>
    <s v="BUY_TO_OPEN"/>
    <s v="SPXW  260327C06555000"/>
    <s v="Equity Option"/>
    <s v="Bought 2 SPX 03/27/26 Call 6555.00 @ 1.32"/>
    <n v="-267.45"/>
    <n v="-264"/>
    <n v="2"/>
    <n v="-132"/>
    <n v="-2"/>
    <n v="-1.45"/>
    <n v="100"/>
    <s v="SPXW"/>
    <s v="SPX"/>
    <d v="2026-03-27T00:00:00"/>
    <n v="6555"/>
    <x v="0"/>
    <n v="450043232"/>
    <s v="USD"/>
  </r>
  <r>
    <d v="2026-03-27T10:51:52"/>
    <x v="13"/>
    <d v="1899-12-30T10:51:52"/>
    <x v="0"/>
    <x v="2"/>
    <s v="SELL_TO_OPEN"/>
    <s v="SPXW  260327C06515000"/>
    <s v="Equity Option"/>
    <s v="Sold 2 SPX 03/27/26 Call 6515.00 @ 2.87"/>
    <n v="570.54"/>
    <n v="574"/>
    <n v="2"/>
    <n v="287"/>
    <n v="-2"/>
    <n v="-1.46"/>
    <n v="100"/>
    <s v="SPXW"/>
    <s v="SPX"/>
    <d v="2026-03-27T00:00:00"/>
    <n v="6515"/>
    <x v="0"/>
    <n v="450043232"/>
    <s v="USD"/>
  </r>
  <r>
    <d v="2026-03-27T10:38:16"/>
    <x v="13"/>
    <d v="1899-12-30T10:38:16"/>
    <x v="0"/>
    <x v="2"/>
    <s v="SELL_TO_OPEN"/>
    <s v="SPXW  260327P06350000"/>
    <s v="Equity Option"/>
    <s v="Sold 1 SPX 03/27/26 Put 6350.00 @ 3.27"/>
    <n v="325.27999999999997"/>
    <n v="327"/>
    <n v="1"/>
    <n v="327"/>
    <n v="-1"/>
    <n v="-0.72"/>
    <n v="100"/>
    <s v="SPXW"/>
    <s v="SPX"/>
    <d v="2026-03-27T00:00:00"/>
    <n v="6350"/>
    <x v="2"/>
    <n v="450021795"/>
    <s v="USD"/>
  </r>
  <r>
    <d v="2026-03-27T10:38:16"/>
    <x v="13"/>
    <d v="1899-12-30T10:38:16"/>
    <x v="0"/>
    <x v="3"/>
    <s v="BUY_TO_OPEN"/>
    <s v="SPXW  260327P06310000"/>
    <s v="Equity Option"/>
    <s v="Bought 1 SPX 03/27/26 Put 6310.00 @ 1.22"/>
    <n v="-123.72"/>
    <n v="-122"/>
    <n v="1"/>
    <n v="-122"/>
    <n v="-1"/>
    <n v="-0.72"/>
    <n v="100"/>
    <s v="SPXW"/>
    <s v="SPX"/>
    <d v="2026-03-27T00:00:00"/>
    <n v="6310"/>
    <x v="2"/>
    <n v="450021795"/>
    <s v="USD"/>
  </r>
  <r>
    <d v="2026-03-27T10:38:16"/>
    <x v="13"/>
    <d v="1899-12-30T10:38:16"/>
    <x v="0"/>
    <x v="2"/>
    <s v="SELL_TO_OPEN"/>
    <s v="SPXW  260327P06350000"/>
    <s v="Equity Option"/>
    <s v="Sold 1 SPX 03/27/26 Put 6350.00 @ 3.27"/>
    <n v="325.27999999999997"/>
    <n v="327"/>
    <n v="1"/>
    <n v="327"/>
    <n v="-1"/>
    <n v="-0.72"/>
    <n v="100"/>
    <s v="SPXW"/>
    <s v="SPX"/>
    <d v="2026-03-27T00:00:00"/>
    <n v="6350"/>
    <x v="2"/>
    <n v="450021795"/>
    <s v="USD"/>
  </r>
  <r>
    <d v="2026-03-27T10:38:16"/>
    <x v="13"/>
    <d v="1899-12-30T10:38:16"/>
    <x v="0"/>
    <x v="3"/>
    <s v="BUY_TO_OPEN"/>
    <s v="SPXW  260327P06310000"/>
    <s v="Equity Option"/>
    <s v="Bought 1 SPX 03/27/26 Put 6310.00 @ 1.22"/>
    <n v="-123.72"/>
    <n v="-122"/>
    <n v="1"/>
    <n v="-122"/>
    <n v="-1"/>
    <n v="-0.72"/>
    <n v="100"/>
    <s v="SPXW"/>
    <s v="SPX"/>
    <d v="2026-03-27T00:00:00"/>
    <n v="6310"/>
    <x v="2"/>
    <n v="450021795"/>
    <s v="USD"/>
  </r>
  <r>
    <d v="2026-03-26T17:00:00"/>
    <x v="14"/>
    <d v="1899-12-30T17:00:00"/>
    <x v="2"/>
    <x v="7"/>
    <s v="BUY_TO_CLOSE"/>
    <s v="SPXW  260326C06610000"/>
    <s v="Equity Option"/>
    <s v="Removal of 2.0 SPX 03/26/26 Call 6610.00 due to expiration."/>
    <n v="0"/>
    <n v="0"/>
    <n v="2"/>
    <n v="0"/>
    <n v="0"/>
    <n v="0"/>
    <n v="100"/>
    <s v="SPXW"/>
    <s v="SPX"/>
    <d v="2026-03-26T00:00:00"/>
    <n v="6610"/>
    <x v="0"/>
    <m/>
    <s v="USD"/>
  </r>
  <r>
    <d v="2026-03-26T17:00:00"/>
    <x v="14"/>
    <d v="1899-12-30T17:00:00"/>
    <x v="2"/>
    <x v="7"/>
    <s v="SELL_TO_CLOSE"/>
    <s v="SPXW  260326C06650000"/>
    <s v="Equity Option"/>
    <s v="Removal of 2.0 SPX 03/26/26 Call 6650.00 due to expiration."/>
    <n v="0"/>
    <n v="0"/>
    <n v="2"/>
    <n v="0"/>
    <n v="0"/>
    <n v="0"/>
    <n v="100"/>
    <s v="SPXW"/>
    <s v="SPX"/>
    <d v="2026-03-26T00:00:00"/>
    <n v="6650"/>
    <x v="0"/>
    <m/>
    <s v="USD"/>
  </r>
  <r>
    <d v="2026-03-26T14:57:09"/>
    <x v="14"/>
    <d v="1899-12-30T14:57:09"/>
    <x v="0"/>
    <x v="0"/>
    <s v="BUY_TO_CLOSE"/>
    <s v="SPXW  260326P06500000"/>
    <s v="Equity Option"/>
    <s v="Bought 2 SPX 03/26/26 Put 6500.00 @ 13.97"/>
    <n v="-2795.45"/>
    <n v="-2794"/>
    <n v="2"/>
    <n v="-1397"/>
    <n v="0"/>
    <n v="-1.45"/>
    <n v="100"/>
    <s v="SPXW"/>
    <s v="SPX"/>
    <d v="2026-03-26T00:00:00"/>
    <n v="6500"/>
    <x v="2"/>
    <n v="449866705"/>
    <s v="USD"/>
  </r>
  <r>
    <d v="2026-03-26T14:57:09"/>
    <x v="14"/>
    <d v="1899-12-30T14:57:09"/>
    <x v="0"/>
    <x v="1"/>
    <s v="SELL_TO_CLOSE"/>
    <s v="SPXW  260326P06455000"/>
    <s v="Equity Option"/>
    <s v="Sold 2 SPX 03/26/26 Put 6455.00 @ 1.92"/>
    <n v="382.54"/>
    <n v="384"/>
    <n v="2"/>
    <n v="192"/>
    <n v="0"/>
    <n v="-1.46"/>
    <n v="100"/>
    <s v="SPXW"/>
    <s v="SPX"/>
    <d v="2026-03-26T00:00:00"/>
    <n v="6455"/>
    <x v="2"/>
    <n v="449866705"/>
    <s v="USD"/>
  </r>
  <r>
    <d v="2026-03-26T12:41:54"/>
    <x v="14"/>
    <d v="1899-12-30T12:41:54"/>
    <x v="0"/>
    <x v="2"/>
    <s v="SELL_TO_OPEN"/>
    <s v="SPXW  260326P06500000"/>
    <s v="Equity Option"/>
    <s v="Sold 1 SPX 03/26/26 Put 6500.00 @ 3.25"/>
    <n v="323.27999999999997"/>
    <n v="325"/>
    <n v="1"/>
    <n v="325"/>
    <n v="-1"/>
    <n v="-0.72"/>
    <n v="100"/>
    <s v="SPXW"/>
    <s v="SPX"/>
    <d v="2026-03-26T00:00:00"/>
    <n v="6500"/>
    <x v="2"/>
    <n v="449782500"/>
    <s v="USD"/>
  </r>
  <r>
    <d v="2026-03-26T12:41:54"/>
    <x v="14"/>
    <d v="1899-12-30T12:41:54"/>
    <x v="0"/>
    <x v="3"/>
    <s v="BUY_TO_OPEN"/>
    <s v="SPXW  260326P06455000"/>
    <s v="Equity Option"/>
    <s v="Bought 1 SPX 03/26/26 Put 6455.00 @ 0.60"/>
    <n v="-61.72"/>
    <n v="-60"/>
    <n v="1"/>
    <n v="-60"/>
    <n v="-1"/>
    <n v="-0.72"/>
    <n v="100"/>
    <s v="SPXW"/>
    <s v="SPX"/>
    <d v="2026-03-26T00:00:00"/>
    <n v="6455"/>
    <x v="2"/>
    <n v="449782500"/>
    <s v="USD"/>
  </r>
  <r>
    <d v="2026-03-26T12:41:54"/>
    <x v="14"/>
    <d v="1899-12-30T12:41:54"/>
    <x v="0"/>
    <x v="2"/>
    <s v="SELL_TO_OPEN"/>
    <s v="SPXW  260326P06500000"/>
    <s v="Equity Option"/>
    <s v="Sold 1 SPX 03/26/26 Put 6500.00 @ 3.25"/>
    <n v="323.27999999999997"/>
    <n v="325"/>
    <n v="1"/>
    <n v="325"/>
    <n v="-1"/>
    <n v="-0.72"/>
    <n v="100"/>
    <s v="SPXW"/>
    <s v="SPX"/>
    <d v="2026-03-26T00:00:00"/>
    <n v="6500"/>
    <x v="2"/>
    <n v="449782500"/>
    <s v="USD"/>
  </r>
  <r>
    <d v="2026-03-26T12:41:54"/>
    <x v="14"/>
    <d v="1899-12-30T12:41:54"/>
    <x v="0"/>
    <x v="3"/>
    <s v="BUY_TO_OPEN"/>
    <s v="SPXW  260326P06455000"/>
    <s v="Equity Option"/>
    <s v="Bought 1 SPX 03/26/26 Put 6455.00 @ 0.60"/>
    <n v="-61.72"/>
    <n v="-60"/>
    <n v="1"/>
    <n v="-60"/>
    <n v="-1"/>
    <n v="-0.72"/>
    <n v="100"/>
    <s v="SPXW"/>
    <s v="SPX"/>
    <d v="2026-03-26T00:00:00"/>
    <n v="6455"/>
    <x v="2"/>
    <n v="449782500"/>
    <s v="USD"/>
  </r>
  <r>
    <d v="2026-03-26T10:37:17"/>
    <x v="14"/>
    <d v="1899-12-30T10:37:17"/>
    <x v="0"/>
    <x v="2"/>
    <s v="SELL_TO_OPEN"/>
    <s v="SPXW  260326C06610000"/>
    <s v="Equity Option"/>
    <s v="Sold 1 SPX 03/26/26 Call 6610.00 @ 2.60"/>
    <n v="258.27999999999997"/>
    <n v="260"/>
    <n v="1"/>
    <n v="260"/>
    <n v="-1"/>
    <n v="-0.72"/>
    <n v="100"/>
    <s v="SPXW"/>
    <s v="SPX"/>
    <d v="2026-03-26T00:00:00"/>
    <n v="6610"/>
    <x v="0"/>
    <n v="449668980"/>
    <s v="USD"/>
  </r>
  <r>
    <d v="2026-03-26T10:37:17"/>
    <x v="14"/>
    <d v="1899-12-30T10:37:17"/>
    <x v="0"/>
    <x v="3"/>
    <s v="BUY_TO_OPEN"/>
    <s v="SPXW  260326C06650000"/>
    <s v="Equity Option"/>
    <s v="Bought 1 SPX 03/26/26 Call 6650.00 @ 0.75"/>
    <n v="-76.72"/>
    <n v="-75"/>
    <n v="1"/>
    <n v="-75"/>
    <n v="-1"/>
    <n v="-0.72"/>
    <n v="100"/>
    <s v="SPXW"/>
    <s v="SPX"/>
    <d v="2026-03-26T00:00:00"/>
    <n v="6650"/>
    <x v="0"/>
    <n v="449668980"/>
    <s v="USD"/>
  </r>
  <r>
    <d v="2026-03-26T10:37:17"/>
    <x v="14"/>
    <d v="1899-12-30T10:37:17"/>
    <x v="0"/>
    <x v="2"/>
    <s v="SELL_TO_OPEN"/>
    <s v="SPXW  260326C06610000"/>
    <s v="Equity Option"/>
    <s v="Sold 1 SPX 03/26/26 Call 6610.00 @ 2.60"/>
    <n v="258.27999999999997"/>
    <n v="260"/>
    <n v="1"/>
    <n v="260"/>
    <n v="-1"/>
    <n v="-0.72"/>
    <n v="100"/>
    <s v="SPXW"/>
    <s v="SPX"/>
    <d v="2026-03-26T00:00:00"/>
    <n v="6610"/>
    <x v="0"/>
    <n v="449668980"/>
    <s v="USD"/>
  </r>
  <r>
    <d v="2026-03-26T10:37:17"/>
    <x v="14"/>
    <d v="1899-12-30T10:37:17"/>
    <x v="0"/>
    <x v="3"/>
    <s v="BUY_TO_OPEN"/>
    <s v="SPXW  260326C06650000"/>
    <s v="Equity Option"/>
    <s v="Bought 1 SPX 03/26/26 Call 6650.00 @ 0.75"/>
    <n v="-76.72"/>
    <n v="-75"/>
    <n v="1"/>
    <n v="-75"/>
    <n v="-1"/>
    <n v="-0.72"/>
    <n v="100"/>
    <s v="SPXW"/>
    <s v="SPX"/>
    <d v="2026-03-26T00:00:00"/>
    <n v="6650"/>
    <x v="0"/>
    <n v="449668980"/>
    <s v="USD"/>
  </r>
  <r>
    <d v="2026-03-25T16:19:43"/>
    <x v="15"/>
    <d v="1899-12-30T16:19:43"/>
    <x v="0"/>
    <x v="1"/>
    <s v="SELL_TO_CLOSE"/>
    <s v="SPXW  260325P06525000"/>
    <s v="Equity Option"/>
    <s v="Sold 2 SPX 03/25/26 Put 6525.00 @ 0.07"/>
    <n v="12.54"/>
    <n v="14"/>
    <n v="2"/>
    <n v="7"/>
    <n v="0"/>
    <n v="-1.46"/>
    <n v="100"/>
    <s v="SPXW"/>
    <s v="SPX"/>
    <d v="2026-03-25T00:00:00"/>
    <n v="6525"/>
    <x v="2"/>
    <n v="449584001"/>
    <s v="USD"/>
  </r>
  <r>
    <d v="2026-03-25T16:19:43"/>
    <x v="15"/>
    <d v="1899-12-30T16:19:43"/>
    <x v="0"/>
    <x v="1"/>
    <s v="SELL_TO_CLOSE"/>
    <s v="SPXW  260325C06725000"/>
    <s v="Equity Option"/>
    <s v="Sold 2 SPX 03/25/26 Call 6725.00 @ 0.03"/>
    <n v="4.54"/>
    <n v="6"/>
    <n v="2"/>
    <n v="3"/>
    <n v="0"/>
    <n v="-1.46"/>
    <n v="100"/>
    <s v="SPXW"/>
    <s v="SPX"/>
    <d v="2026-03-25T00:00:00"/>
    <n v="6725"/>
    <x v="0"/>
    <n v="449584001"/>
    <s v="USD"/>
  </r>
  <r>
    <d v="2026-03-25T16:19:43"/>
    <x v="15"/>
    <d v="1899-12-30T16:19:43"/>
    <x v="0"/>
    <x v="0"/>
    <s v="BUY_TO_CLOSE"/>
    <s v="SPXW  260325P06565000"/>
    <s v="Equity Option"/>
    <s v="Bought 2 SPX 03/25/26 Put 6565.00 @ 0.61"/>
    <n v="-123.45"/>
    <n v="-122"/>
    <n v="2"/>
    <n v="-61"/>
    <n v="0"/>
    <n v="-1.45"/>
    <n v="100"/>
    <s v="SPXW"/>
    <s v="SPX"/>
    <d v="2026-03-25T00:00:00"/>
    <n v="6565"/>
    <x v="2"/>
    <n v="449584001"/>
    <s v="USD"/>
  </r>
  <r>
    <d v="2026-03-25T16:19:43"/>
    <x v="15"/>
    <d v="1899-12-30T16:19:43"/>
    <x v="0"/>
    <x v="0"/>
    <s v="BUY_TO_CLOSE"/>
    <s v="SPXW  260325C06685000"/>
    <s v="Equity Option"/>
    <s v="Bought 2 SPX 03/25/26 Call 6685.00 @ 0.04"/>
    <n v="-9.4499999999999993"/>
    <n v="-8"/>
    <n v="2"/>
    <n v="-4"/>
    <n v="0"/>
    <n v="-1.45"/>
    <n v="100"/>
    <s v="SPXW"/>
    <s v="SPX"/>
    <d v="2026-03-25T00:00:00"/>
    <n v="6685"/>
    <x v="0"/>
    <n v="449584001"/>
    <s v="USD"/>
  </r>
  <r>
    <d v="2026-03-25T10:44:41"/>
    <x v="15"/>
    <d v="1899-12-30T10:44:41"/>
    <x v="0"/>
    <x v="2"/>
    <s v="SELL_TO_OPEN"/>
    <s v="SPXW  260325C06685000"/>
    <s v="Equity Option"/>
    <s v="Sold 2 SPX 03/25/26 Call 6685.00 @ 1.83"/>
    <n v="362.54"/>
    <n v="366"/>
    <n v="2"/>
    <n v="183"/>
    <n v="-2"/>
    <n v="-1.46"/>
    <n v="100"/>
    <s v="SPXW"/>
    <s v="SPX"/>
    <d v="2026-03-25T00:00:00"/>
    <n v="6685"/>
    <x v="0"/>
    <n v="449376036"/>
    <s v="USD"/>
  </r>
  <r>
    <d v="2026-03-25T10:44:41"/>
    <x v="15"/>
    <d v="1899-12-30T10:44:41"/>
    <x v="0"/>
    <x v="2"/>
    <s v="SELL_TO_OPEN"/>
    <s v="SPXW  260325P06565000"/>
    <s v="Equity Option"/>
    <s v="Sold 2 SPX 03/25/26 Put 6565.00 @ 7.10"/>
    <n v="1416.54"/>
    <n v="1420"/>
    <n v="2"/>
    <n v="710"/>
    <n v="-2"/>
    <n v="-1.46"/>
    <n v="100"/>
    <s v="SPXW"/>
    <s v="SPX"/>
    <d v="2026-03-25T00:00:00"/>
    <n v="6565"/>
    <x v="2"/>
    <n v="449376036"/>
    <s v="USD"/>
  </r>
  <r>
    <d v="2026-03-25T10:44:41"/>
    <x v="15"/>
    <d v="1899-12-30T10:44:41"/>
    <x v="0"/>
    <x v="3"/>
    <s v="BUY_TO_OPEN"/>
    <s v="SPXW  260325C06725000"/>
    <s v="Equity Option"/>
    <s v="Bought 2 SPX 03/25/26 Call 6725.00 @ 0.52"/>
    <n v="-107.45"/>
    <n v="-104"/>
    <n v="2"/>
    <n v="-52"/>
    <n v="-2"/>
    <n v="-1.45"/>
    <n v="100"/>
    <s v="SPXW"/>
    <s v="SPX"/>
    <d v="2026-03-25T00:00:00"/>
    <n v="6725"/>
    <x v="0"/>
    <n v="449376036"/>
    <s v="USD"/>
  </r>
  <r>
    <d v="2026-03-25T10:44:41"/>
    <x v="15"/>
    <d v="1899-12-30T10:44:41"/>
    <x v="0"/>
    <x v="3"/>
    <s v="BUY_TO_OPEN"/>
    <s v="SPXW  260325P06525000"/>
    <s v="Equity Option"/>
    <s v="Bought 2 SPX 03/25/26 Put 6525.00 @ 2.66"/>
    <n v="-535.45000000000005"/>
    <n v="-532"/>
    <n v="2"/>
    <n v="-266"/>
    <n v="-2"/>
    <n v="-1.45"/>
    <n v="100"/>
    <s v="SPXW"/>
    <s v="SPX"/>
    <d v="2026-03-25T00:00:00"/>
    <n v="6525"/>
    <x v="2"/>
    <n v="449376036"/>
    <s v="USD"/>
  </r>
  <r>
    <d v="2026-03-24T18:00:00"/>
    <x v="16"/>
    <d v="1899-12-30T18:00:00"/>
    <x v="1"/>
    <x v="6"/>
    <s v=""/>
    <s v=""/>
    <s v=""/>
    <s v="Wire Funds Received"/>
    <n v="20501.740000000002"/>
    <n v="20501.740000000002"/>
    <n v="0"/>
    <m/>
    <n v="0"/>
    <n v="0"/>
    <m/>
    <s v=""/>
    <s v=""/>
    <m/>
    <m/>
    <x v="1"/>
    <m/>
    <s v="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526AA4-657C-BA4C-BD78-CC53A35CF54F}" name="PivotTable2" cacheId="13" dataOnRows="1" dataPosition="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M45" firstHeaderRow="1" firstDataRow="2" firstDataCol="1" rowPageCount="1" colPageCount="1"/>
  <pivotFields count="29">
    <pivotField numFmtId="22" showAll="0"/>
    <pivotField axis="axisCol" numFmtId="14" multipleItemSelectionAllowed="1" showAll="0">
      <items count="18">
        <item x="16"/>
        <item x="15"/>
        <item x="14"/>
        <item x="13"/>
        <item x="12"/>
        <item x="11"/>
        <item x="10"/>
        <item x="9"/>
        <item x="8"/>
        <item x="7"/>
        <item x="5"/>
        <item x="6"/>
        <item x="3"/>
        <item x="4"/>
        <item x="2"/>
        <item x="0"/>
        <item x="1"/>
        <item t="default"/>
      </items>
    </pivotField>
    <pivotField numFmtId="171" showAll="0"/>
    <pivotField axis="axisPage" multipleItemSelectionAllowed="1" showAll="0">
      <items count="4">
        <item h="1" x="1"/>
        <item h="1" x="2"/>
        <item x="0"/>
        <item t="default"/>
      </items>
    </pivotField>
    <pivotField showAll="0">
      <items count="9">
        <item x="3"/>
        <item x="2"/>
        <item x="1"/>
        <item x="0"/>
        <item x="7"/>
        <item x="6"/>
        <item x="4"/>
        <item x="5"/>
        <item t="default"/>
      </items>
    </pivotField>
    <pivotField showAll="0"/>
    <pivotField showAll="0"/>
    <pivotField showAll="0"/>
    <pivotField showAll="0"/>
    <pivotField dataField="1" numFmtId="164" showAll="0"/>
    <pivotField dataField="1" numFmtId="164" showAll="0"/>
    <pivotField showAll="0"/>
    <pivotField showAll="0"/>
    <pivotField numFmtId="164" showAll="0"/>
    <pivotField numFmtId="164" showAll="0"/>
    <pivotField showAll="0"/>
    <pivotField showAll="0"/>
    <pivotField showAll="0"/>
    <pivotField showAll="0"/>
    <pivotField showAll="0"/>
    <pivotField axis="axisRow" showAll="0">
      <items count="4">
        <item x="1"/>
        <item x="0"/>
        <item x="2"/>
        <item t="default"/>
      </items>
    </pivotField>
    <pivotField showAll="0"/>
    <pivotField showAll="0"/>
    <pivotField axis="axisRow" showAll="0">
      <items count="5">
        <item n="Open" x="0"/>
        <item n="Close" x="1"/>
        <item n="Wallet"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3">
    <field x="-2"/>
    <field x="20"/>
    <field x="23"/>
  </rowFields>
  <rowItems count="40">
    <i>
      <x/>
    </i>
    <i r="1">
      <x v="1"/>
    </i>
    <i r="2">
      <x/>
    </i>
    <i r="2">
      <x v="1"/>
    </i>
    <i r="1">
      <x v="2"/>
    </i>
    <i r="2">
      <x/>
    </i>
    <i r="2">
      <x v="1"/>
    </i>
    <i i="1">
      <x v="1"/>
    </i>
    <i r="1" i="1">
      <x v="1"/>
    </i>
    <i r="2" i="1">
      <x/>
    </i>
    <i r="2" i="1">
      <x v="1"/>
    </i>
    <i r="1" i="1">
      <x v="2"/>
    </i>
    <i r="2" i="1">
      <x/>
    </i>
    <i r="2" i="1">
      <x v="1"/>
    </i>
    <i i="2">
      <x v="2"/>
    </i>
    <i r="1" i="2">
      <x v="1"/>
    </i>
    <i r="2" i="2">
      <x/>
    </i>
    <i r="2" i="2">
      <x v="1"/>
    </i>
    <i r="1" i="2">
      <x v="2"/>
    </i>
    <i r="2" i="2">
      <x/>
    </i>
    <i r="2" i="2">
      <x v="1"/>
    </i>
    <i i="3">
      <x v="3"/>
    </i>
    <i r="1" i="3">
      <x v="1"/>
    </i>
    <i r="2" i="3">
      <x/>
    </i>
    <i r="2" i="3">
      <x v="1"/>
    </i>
    <i r="1" i="3">
      <x v="2"/>
    </i>
    <i r="2" i="3">
      <x/>
    </i>
    <i r="2" i="3">
      <x v="1"/>
    </i>
    <i i="4">
      <x v="4"/>
    </i>
    <i r="1" i="4">
      <x v="1"/>
    </i>
    <i r="2" i="4">
      <x/>
    </i>
    <i r="2" i="4">
      <x v="1"/>
    </i>
    <i r="1" i="4">
      <x v="2"/>
    </i>
    <i r="2" i="4">
      <x/>
    </i>
    <i r="2" i="4">
      <x v="1"/>
    </i>
    <i t="grand">
      <x/>
    </i>
    <i t="grand" i="1">
      <x/>
    </i>
    <i t="grand" i="2">
      <x/>
    </i>
    <i t="grand" i="3">
      <x/>
    </i>
    <i t="grand" i="4">
      <x/>
    </i>
  </rowItems>
  <colFields count="1">
    <field x="1"/>
  </colFields>
  <colItems count="11">
    <i>
      <x v="1"/>
    </i>
    <i>
      <x v="2"/>
    </i>
    <i>
      <x v="3"/>
    </i>
    <i>
      <x v="7"/>
    </i>
    <i>
      <x v="8"/>
    </i>
    <i>
      <x v="9"/>
    </i>
    <i>
      <x v="10"/>
    </i>
    <i>
      <x v="13"/>
    </i>
    <i>
      <x v="14"/>
    </i>
    <i>
      <x v="15"/>
    </i>
    <i t="grand">
      <x/>
    </i>
  </colItems>
  <pageFields count="1">
    <pageField fld="3" hier="-1"/>
  </pageFields>
  <dataFields count="5">
    <dataField name="TRADE" fld="10" baseField="0" baseItem="0" numFmtId="164"/>
    <dataField name="FEES &amp; COMMISSIONS" fld="26" baseField="0" baseItem="0" numFmtId="164"/>
    <dataField name="P/L" fld="9" baseField="0" baseItem="0" numFmtId="164"/>
    <dataField name="Taxes" fld="27" baseField="0" baseItem="0" numFmtId="164"/>
    <dataField name="NET P/L" fld="28" baseField="0" baseItem="0" numFmtId="164"/>
  </dataFields>
  <formats count="11">
    <format dxfId="52">
      <pivotArea field="23" type="button" dataOnly="0" labelOnly="1" outline="0" axis="axisRow" fieldPosition="2"/>
    </format>
    <format dxfId="51">
      <pivotArea dataOnly="0" labelOnly="1" fieldPosition="0">
        <references count="1">
          <reference field="23" count="2">
            <x v="0"/>
            <x v="1"/>
          </reference>
        </references>
      </pivotArea>
    </format>
    <format dxfId="50">
      <pivotArea dataOnly="0" fieldPosition="0">
        <references count="1">
          <reference field="20" count="1">
            <x v="2"/>
          </reference>
        </references>
      </pivotArea>
    </format>
    <format dxfId="49">
      <pivotArea dataOnly="0" fieldPosition="0">
        <references count="1">
          <reference field="20" count="1">
            <x v="2"/>
          </reference>
        </references>
      </pivotArea>
    </format>
    <format dxfId="48">
      <pivotArea dataOnly="0" fieldPosition="0">
        <references count="1">
          <reference field="20" count="1">
            <x v="1"/>
          </reference>
        </references>
      </pivotArea>
    </format>
    <format dxfId="47">
      <pivotArea outline="0" collapsedLevelsAreSubtotals="1" fieldPosition="0"/>
    </format>
    <format dxfId="46">
      <pivotArea dataOnly="0" labelOnly="1" outline="0" fieldPosition="0">
        <references count="1">
          <reference field="3" count="0"/>
        </references>
      </pivotArea>
    </format>
    <format dxfId="45">
      <pivotArea field="1" type="button" dataOnly="0" labelOnly="1" outline="0" axis="axisCol" fieldPosition="0"/>
    </format>
    <format dxfId="44">
      <pivotArea type="topRight" dataOnly="0" labelOnly="1" outline="0" fieldPosition="0"/>
    </format>
    <format dxfId="43">
      <pivotArea dataOnly="0" labelOnly="1" fieldPosition="0">
        <references count="1">
          <reference field="1" count="6">
            <x v="1"/>
            <x v="2"/>
            <x v="3"/>
            <x v="7"/>
            <x v="8"/>
            <x v="9"/>
          </reference>
        </references>
      </pivotArea>
    </format>
    <format dxfId="4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530FBB-F4FE-C44D-9620-C2FE510ABAA0}" name="PivotTable3" cacheId="13" dataOnRows="1" dataPosition="0" applyNumberFormats="0" applyBorderFormats="0" applyFontFormats="0" applyPatternFormats="0" applyAlignmentFormats="0" applyWidthHeightFormats="1" dataCaption="Values" grandTotalCaption="Total" updatedVersion="8" minRefreshableVersion="3" itemPrintTitles="1" createdVersion="8" indent="0" outline="1" outlineData="1" multipleFieldFilters="0">
  <location ref="B51:F70" firstHeaderRow="1" firstDataRow="2" firstDataCol="1"/>
  <pivotFields count="29">
    <pivotField numFmtId="22" showAll="0"/>
    <pivotField axis="axisRow" numFmtId="14" multipleItemSelectionAllowed="1" showAll="0" sortType="ascending">
      <items count="18">
        <item x="16"/>
        <item x="15"/>
        <item x="14"/>
        <item x="13"/>
        <item x="12"/>
        <item x="11"/>
        <item x="10"/>
        <item x="9"/>
        <item x="8"/>
        <item x="7"/>
        <item x="6"/>
        <item x="5"/>
        <item x="4"/>
        <item x="3"/>
        <item x="2"/>
        <item x="1"/>
        <item x="0"/>
        <item t="default"/>
      </items>
    </pivotField>
    <pivotField numFmtId="171" showAll="0"/>
    <pivotField axis="axisCol" showAll="0">
      <items count="4">
        <item x="1"/>
        <item x="2"/>
        <item x="0"/>
        <item t="default"/>
      </items>
    </pivotField>
    <pivotField showAll="0">
      <items count="9">
        <item x="3"/>
        <item x="2"/>
        <item x="1"/>
        <item x="0"/>
        <item x="7"/>
        <item x="6"/>
        <item x="4"/>
        <item x="5"/>
        <item t="default"/>
      </items>
    </pivotField>
    <pivotField showAll="0"/>
    <pivotField showAll="0"/>
    <pivotField showAll="0"/>
    <pivotField showAll="0"/>
    <pivotField dataField="1" numFmtId="164" showAll="0"/>
    <pivotField numFmtId="164"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5">
        <item n="Open" x="0"/>
        <item n="Close" x="1"/>
        <item n="Wallet"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18">
    <i>
      <x/>
    </i>
    <i>
      <x v="1"/>
    </i>
    <i>
      <x v="2"/>
    </i>
    <i>
      <x v="3"/>
    </i>
    <i>
      <x v="4"/>
    </i>
    <i>
      <x v="5"/>
    </i>
    <i>
      <x v="6"/>
    </i>
    <i>
      <x v="7"/>
    </i>
    <i>
      <x v="8"/>
    </i>
    <i>
      <x v="9"/>
    </i>
    <i>
      <x v="10"/>
    </i>
    <i>
      <x v="11"/>
    </i>
    <i>
      <x v="12"/>
    </i>
    <i>
      <x v="13"/>
    </i>
    <i>
      <x v="14"/>
    </i>
    <i>
      <x v="15"/>
    </i>
    <i>
      <x v="16"/>
    </i>
    <i t="grand">
      <x/>
    </i>
  </rowItems>
  <colFields count="1">
    <field x="3"/>
  </colFields>
  <colItems count="4">
    <i>
      <x/>
    </i>
    <i>
      <x v="1"/>
    </i>
    <i>
      <x v="2"/>
    </i>
    <i t="grand">
      <x/>
    </i>
  </colItems>
  <dataFields count="1">
    <dataField name="Sum of Total" fld="9" baseField="0" baseItem="0" numFmtId="164"/>
  </dataFields>
  <formats count="8">
    <format dxfId="60">
      <pivotArea field="23" type="button" dataOnly="0" labelOnly="1" outline="0"/>
    </format>
    <format dxfId="59">
      <pivotArea outline="0" collapsedLevelsAreSubtotals="1" fieldPosition="0"/>
    </format>
    <format dxfId="58">
      <pivotArea field="1" type="button" dataOnly="0" labelOnly="1" outline="0" axis="axisRow" fieldPosition="0"/>
    </format>
    <format dxfId="57">
      <pivotArea type="topRight" dataOnly="0" labelOnly="1" outline="0" fieldPosition="0"/>
    </format>
    <format dxfId="56">
      <pivotArea dataOnly="0" labelOnly="1" fieldPosition="0">
        <references count="1">
          <reference field="1" count="6">
            <x v="1"/>
            <x v="2"/>
            <x v="3"/>
            <x v="7"/>
            <x v="8"/>
            <x v="9"/>
          </reference>
        </references>
      </pivotArea>
    </format>
    <format dxfId="55">
      <pivotArea dataOnly="0" labelOnly="1" fieldPosition="0">
        <references count="1">
          <reference field="1" count="0"/>
        </references>
      </pivotArea>
    </format>
    <format dxfId="54">
      <pivotArea dataOnly="0" labelOnly="1" fieldPosition="0">
        <references count="1">
          <reference field="3" count="0"/>
        </references>
      </pivotArea>
    </format>
    <format dxfId="5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0A5E1E-F7B9-ED4A-96D8-6CACDFCDA03C}" autoFormatId="16" applyNumberFormats="0" applyBorderFormats="0" applyFontFormats="0" applyPatternFormats="0" applyAlignmentFormats="0" applyWidthHeightFormats="0">
  <queryTableRefresh nextId="33">
    <queryTableFields count="23">
      <queryTableField id="29" name="Date/Time" tableColumnId="22"/>
      <queryTableField id="2" name="Date" tableColumnId="2"/>
      <queryTableField id="30" name="Time" tableColumnId="23"/>
      <queryTableField id="3" name="Type" tableColumnId="3"/>
      <queryTableField id="4" name="Sub Type" tableColumnId="4"/>
      <queryTableField id="5" name="Action" tableColumnId="5"/>
      <queryTableField id="6" name="Symbol" tableColumnId="6"/>
      <queryTableField id="7" name="Instrument Type" tableColumnId="7"/>
      <queryTableField id="8" name="Description" tableColumnId="8"/>
      <queryTableField id="1" name="Total" tableColumnId="1"/>
      <queryTableField id="9" name="Value" tableColumnId="9"/>
      <queryTableField id="10" name="Quantity" tableColumnId="10"/>
      <queryTableField id="11" name="Average Price" tableColumnId="11"/>
      <queryTableField id="12" name="Commissions" tableColumnId="12"/>
      <queryTableField id="13" name="Fees" tableColumnId="13"/>
      <queryTableField id="14" name="Multiplier" tableColumnId="14"/>
      <queryTableField id="15" name="Root Symbol" tableColumnId="15"/>
      <queryTableField id="16" name="Underlying Symbol" tableColumnId="16"/>
      <queryTableField id="17" name="Expiration Date" tableColumnId="17"/>
      <queryTableField id="18" name="Strike Price" tableColumnId="18"/>
      <queryTableField id="19" name="Call or Put" tableColumnId="19"/>
      <queryTableField id="20" name="Order #" tableColumnId="20"/>
      <queryTableField id="21" name="Currency" tableColumnId="21"/>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33611A-FD99-344B-8EF9-476B19F3B943}" name="Table2" displayName="Table2" ref="A1:O26" totalsRowShown="0" dataDxfId="78">
  <autoFilter ref="A1:O26" xr:uid="{3533611A-FD99-344B-8EF9-476B19F3B943}"/>
  <tableColumns count="15">
    <tableColumn id="1" xr3:uid="{EE7A082B-A8E3-AF4F-8DC3-FF5EE9FD8A52}" name="DATA" dataDxfId="77">
      <calculatedColumnFormula>IF( WEEKDAY( A1 ) = 6, 3, 1 ) + A1</calculatedColumnFormula>
    </tableColumn>
    <tableColumn id="2" xr3:uid="{EFF48487-77BC-2D4F-A102-1F813FF2C116}" name="WALLET" dataDxfId="76"/>
    <tableColumn id="3" xr3:uid="{7A003149-208D-0146-B96E-4E05C7A040A1}" name="IRON C" dataDxfId="75"/>
    <tableColumn id="4" xr3:uid="{C971B954-A059-8C4D-A276-32B06D037F0D}" name="WING" dataDxfId="74"/>
    <tableColumn id="5" xr3:uid="{F6D141FB-61EB-2A44-867E-B8B309A31C55}" name="CONTRATOS" dataDxfId="73"/>
    <tableColumn id="6" xr3:uid="{423EB250-2821-7E40-A7FF-6D7AE39387F9}" name="MARGEM" dataDxfId="72"/>
    <tableColumn id="7" xr3:uid="{6FE6D93F-A553-A243-B4DC-1DE6AA1164A5}" name="RETORNO" dataDxfId="71"/>
    <tableColumn id="8" xr3:uid="{1BFE8131-6448-AA49-AAF1-BF4F9FCBD4F1}" name="RISCO MAX" dataDxfId="70"/>
    <tableColumn id="9" xr3:uid="{463490D0-8A6C-F249-8E1F-6D6B809B2A88}" name="% WALLET" dataDxfId="69"/>
    <tableColumn id="10" xr3:uid="{53CA8D17-8E19-AF4F-B2F8-B0CCB82CABD6}" name="RESULTADO" dataDxfId="68"/>
    <tableColumn id="11" xr3:uid="{5DDCF9DB-A44D-9449-A085-B8FF9EAAD642}" name="ACUM" dataDxfId="67"/>
    <tableColumn id="12" xr3:uid="{474FB040-3599-3746-9188-701F4456774C}" name="% RESULTADO" dataDxfId="66"/>
    <tableColumn id="13" xr3:uid="{EBAA5EB7-22AA-2546-BF6C-F7C29630ACE8}" name="% ACERTOS" dataDxfId="65" dataCellStyle="Percent"/>
    <tableColumn id="14" xr3:uid="{F6E07F81-B23D-604C-BED2-3BD4E8214525}" name="TARIFA" dataDxfId="64"/>
    <tableColumn id="15" xr3:uid="{9E86B860-979C-2D4F-AA81-840D740D16FC}" name="APORTE" dataDxfId="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C91B27-DFFB-8543-BDCC-CC639BC75FA2}" name="tastytrade_transactions_history_x5WI39325" displayName="tastytrade_transactions_history_x5WI39325" ref="A1:W122" tableType="queryTable" totalsRowShown="0" headerRowDxfId="62" dataDxfId="61">
  <autoFilter ref="A1:W122" xr:uid="{DBC91B27-DFFB-8543-BDCC-CC639BC75FA2}"/>
  <tableColumns count="23">
    <tableColumn id="22" xr3:uid="{C8B68616-F7B8-164A-98B5-49B781A9186B}" uniqueName="22" name="Date/Time" queryTableFieldId="29" dataDxfId="41"/>
    <tableColumn id="2" xr3:uid="{87FADBE7-0F13-7C4A-AD52-0AE5173D1AE2}" uniqueName="2" name="Date" queryTableFieldId="2" dataDxfId="40"/>
    <tableColumn id="23" xr3:uid="{98148165-F824-F442-A18D-A2C7C6220548}" uniqueName="23" name="Time" queryTableFieldId="30" dataDxfId="39"/>
    <tableColumn id="3" xr3:uid="{EDCA4C83-5760-6349-80AC-035A6F3FBB50}" uniqueName="3" name="Type" queryTableFieldId="3" dataDxfId="38"/>
    <tableColumn id="4" xr3:uid="{F681728E-5D05-524A-8FB5-B2EAAC0665B6}" uniqueName="4" name="Sub Type" queryTableFieldId="4" dataDxfId="37"/>
    <tableColumn id="5" xr3:uid="{A8F1DFD1-9919-C546-A9D0-27AFE6FEEA0C}" uniqueName="5" name="Action" queryTableFieldId="5" dataDxfId="36"/>
    <tableColumn id="6" xr3:uid="{51696DF9-EB59-064A-AF50-8A37B0644584}" uniqueName="6" name="Symbol" queryTableFieldId="6" dataDxfId="35"/>
    <tableColumn id="7" xr3:uid="{391FBB7C-CF47-9340-B603-46069AEAE7E3}" uniqueName="7" name="Instrument Type" queryTableFieldId="7" dataDxfId="34"/>
    <tableColumn id="8" xr3:uid="{3610C4F1-C850-D544-A3F6-FCFD980E45B3}" uniqueName="8" name="Description" queryTableFieldId="8" dataDxfId="33"/>
    <tableColumn id="1" xr3:uid="{7B283540-BA0C-9447-98A9-0E565341953F}" uniqueName="1" name="Total" queryTableFieldId="1" dataDxfId="32"/>
    <tableColumn id="9" xr3:uid="{76B1892B-EC53-DF41-A1F7-DA3AAB074391}" uniqueName="9" name="Value" queryTableFieldId="9" dataDxfId="31"/>
    <tableColumn id="10" xr3:uid="{73423101-2C51-5D4F-9A5F-E071B5A04008}" uniqueName="10" name="Quantity" queryTableFieldId="10" dataDxfId="30"/>
    <tableColumn id="11" xr3:uid="{FE0099F4-3A77-D042-B077-367D6BB3ECF8}" uniqueName="11" name="Average Price" queryTableFieldId="11" dataDxfId="29"/>
    <tableColumn id="12" xr3:uid="{0779A6BC-1C88-FB40-A8B1-3052C7AA71C6}" uniqueName="12" name="Commissions" queryTableFieldId="12" dataDxfId="28"/>
    <tableColumn id="13" xr3:uid="{BE9286B6-0EF5-BC43-84A1-02877E4FB8FC}" uniqueName="13" name="Fees" queryTableFieldId="13" dataDxfId="27"/>
    <tableColumn id="14" xr3:uid="{483EF983-29D4-E441-B173-6D706AC569CB}" uniqueName="14" name="Multiplier" queryTableFieldId="14" dataDxfId="26"/>
    <tableColumn id="15" xr3:uid="{E79D3E1C-E781-1140-8A5F-D4D175CAD7F7}" uniqueName="15" name="Root Symbol" queryTableFieldId="15" dataDxfId="25"/>
    <tableColumn id="16" xr3:uid="{7EDCC76A-771F-9547-88D7-42445D7A2ABE}" uniqueName="16" name="Underlying Symbol" queryTableFieldId="16" dataDxfId="24"/>
    <tableColumn id="17" xr3:uid="{E0EFC4D4-9A69-8F4B-81A7-B335FEC37B1A}" uniqueName="17" name="Expiration Date" queryTableFieldId="17" dataDxfId="23"/>
    <tableColumn id="18" xr3:uid="{E7386ADA-8552-C04E-BB9E-DD16AA679037}" uniqueName="18" name="Strike Price" queryTableFieldId="18" dataDxfId="22"/>
    <tableColumn id="19" xr3:uid="{342CD341-6A74-9B46-AA50-E3E2C662115F}" uniqueName="19" name="Call or Put" queryTableFieldId="19" dataDxfId="21"/>
    <tableColumn id="20" xr3:uid="{F7FDEC39-6C40-014B-8FC4-59A46CFBA79B}" uniqueName="20" name="Order #" queryTableFieldId="20" dataDxfId="20"/>
    <tableColumn id="21" xr3:uid="{C2C6443E-151B-E441-8AC9-1371952E2175}" uniqueName="21" name="Currency" queryTableFieldId="21" dataDxf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3C267-146B-5B43-A6F5-6FB79E72088E}">
  <dimension ref="B2:Y35"/>
  <sheetViews>
    <sheetView zoomScale="110" zoomScaleNormal="110" workbookViewId="0">
      <selection activeCell="Y31" sqref="Y31"/>
    </sheetView>
  </sheetViews>
  <sheetFormatPr baseColWidth="10" defaultRowHeight="16" x14ac:dyDescent="0.2"/>
  <cols>
    <col min="1" max="1" width="1.83203125" customWidth="1"/>
    <col min="2" max="2" width="23.6640625" customWidth="1"/>
    <col min="3" max="3" width="6.83203125" customWidth="1"/>
    <col min="4" max="5" width="10.83203125" style="1"/>
    <col min="6" max="6" width="6.83203125" customWidth="1"/>
    <col min="7" max="8" width="10.83203125" style="1"/>
    <col min="9" max="9" width="6.83203125" customWidth="1"/>
    <col min="10" max="11" width="10.83203125" style="1"/>
    <col min="12" max="12" width="6.83203125" customWidth="1"/>
    <col min="13" max="14" width="10.83203125" style="1"/>
    <col min="15" max="15" width="6.83203125" customWidth="1"/>
    <col min="16" max="17" width="10.83203125" style="1"/>
    <col min="18" max="18" width="6.83203125" customWidth="1"/>
    <col min="19" max="20" width="10.83203125" style="1"/>
    <col min="21" max="21" width="6.83203125" customWidth="1"/>
    <col min="22" max="23" width="10.83203125" style="1"/>
  </cols>
  <sheetData>
    <row r="2" spans="2:23" x14ac:dyDescent="0.2">
      <c r="B2" s="169" t="s">
        <v>197</v>
      </c>
      <c r="C2" s="163">
        <v>46126</v>
      </c>
      <c r="D2" s="164"/>
      <c r="E2" s="165"/>
      <c r="F2" s="163">
        <v>46126</v>
      </c>
      <c r="G2" s="164"/>
      <c r="H2" s="165"/>
      <c r="I2" s="163">
        <v>46127</v>
      </c>
      <c r="J2" s="164"/>
      <c r="K2" s="165"/>
      <c r="L2" s="163">
        <v>46129</v>
      </c>
      <c r="M2" s="164"/>
      <c r="N2" s="165"/>
      <c r="O2" s="163">
        <v>46129</v>
      </c>
      <c r="P2" s="164"/>
      <c r="Q2" s="165"/>
      <c r="R2" s="163">
        <v>46136</v>
      </c>
      <c r="S2" s="164"/>
      <c r="T2" s="165"/>
      <c r="U2" s="163">
        <v>46137</v>
      </c>
      <c r="V2" s="164"/>
      <c r="W2" s="165"/>
    </row>
    <row r="3" spans="2:23" x14ac:dyDescent="0.2">
      <c r="B3" s="170"/>
      <c r="C3" s="166" t="s">
        <v>264</v>
      </c>
      <c r="D3" s="167"/>
      <c r="E3" s="168"/>
      <c r="F3" s="166" t="s">
        <v>263</v>
      </c>
      <c r="G3" s="167"/>
      <c r="H3" s="168"/>
      <c r="I3" s="166" t="s">
        <v>262</v>
      </c>
      <c r="J3" s="167"/>
      <c r="K3" s="168"/>
      <c r="L3" s="166" t="s">
        <v>263</v>
      </c>
      <c r="M3" s="167"/>
      <c r="N3" s="168"/>
      <c r="O3" s="166" t="s">
        <v>263</v>
      </c>
      <c r="P3" s="167"/>
      <c r="Q3" s="168"/>
      <c r="R3" s="166" t="s">
        <v>263</v>
      </c>
      <c r="S3" s="167"/>
      <c r="T3" s="168"/>
      <c r="U3" s="166" t="s">
        <v>323</v>
      </c>
      <c r="V3" s="167"/>
      <c r="W3" s="168"/>
    </row>
    <row r="4" spans="2:23" x14ac:dyDescent="0.2">
      <c r="B4" s="170"/>
      <c r="C4" s="6"/>
      <c r="D4" s="14">
        <v>0.47916666666666669</v>
      </c>
      <c r="E4" s="10">
        <v>0.48472222222222222</v>
      </c>
      <c r="F4" s="6"/>
      <c r="G4" s="14">
        <v>0.57222222222222219</v>
      </c>
      <c r="H4" s="10">
        <v>0.69374999999999998</v>
      </c>
      <c r="I4" s="6"/>
      <c r="J4" s="14">
        <v>0.49375000000000002</v>
      </c>
      <c r="K4" s="10" t="s">
        <v>288</v>
      </c>
      <c r="L4" s="6"/>
      <c r="M4" s="14">
        <v>0.43958333333333333</v>
      </c>
      <c r="N4" s="10">
        <v>0.5625</v>
      </c>
      <c r="O4" s="6"/>
      <c r="P4" s="14">
        <v>0.59861111111111109</v>
      </c>
      <c r="Q4" s="10">
        <v>0.67986111111111114</v>
      </c>
      <c r="R4" s="6"/>
      <c r="S4" s="14">
        <v>0.45416666666666666</v>
      </c>
      <c r="T4" s="10">
        <v>0.67013888888888884</v>
      </c>
      <c r="U4" s="6"/>
      <c r="V4" s="14">
        <v>0.58333333333333337</v>
      </c>
      <c r="W4" s="10">
        <v>0.62291666666666667</v>
      </c>
    </row>
    <row r="5" spans="2:23" x14ac:dyDescent="0.2">
      <c r="B5" s="170"/>
      <c r="C5" s="2"/>
      <c r="D5" s="15"/>
      <c r="E5" s="138">
        <f>IF( E6 = "", "-", IFERROR( E6/D6-1, "-" ) )</f>
        <v>-7.210938705592973E-6</v>
      </c>
      <c r="F5" s="2"/>
      <c r="H5" s="138">
        <f>IF( H6 = "", "-", IFERROR( H6/G6-1, "-" ) )</f>
        <v>1.1179397720726403E-3</v>
      </c>
      <c r="I5" s="2"/>
      <c r="K5" s="138">
        <f>IF( K6 = "", "-", IFERROR( K6/J6-1, "-" ) )</f>
        <v>-7.8381115300329984E-4</v>
      </c>
      <c r="L5" s="2"/>
      <c r="N5" s="138">
        <f>IF( N6 = "", "-", IFERROR( N6/M6-1, "-" ) )</f>
        <v>7.5220321336924023E-3</v>
      </c>
      <c r="O5" s="2"/>
      <c r="Q5" s="138">
        <f>IF( Q6 = "", "-", IFERROR( Q6/P6-1, "-" ) )</f>
        <v>-1.6662014953737758E-3</v>
      </c>
      <c r="R5" s="2"/>
      <c r="T5" s="138">
        <f>IF( T6 = "", "-", IFERROR( T6/S6-1, "-" ) )</f>
        <v>6.0596438677191777E-3</v>
      </c>
      <c r="U5" s="2"/>
      <c r="W5" s="138">
        <f>IF( W6 = "", "-", IFERROR( W6/V6-1, "-" ) )</f>
        <v>7.3110736255799225E-4</v>
      </c>
    </row>
    <row r="6" spans="2:23" x14ac:dyDescent="0.2">
      <c r="B6" s="21" t="s">
        <v>0</v>
      </c>
      <c r="C6" s="39"/>
      <c r="D6" s="22">
        <v>6933.91</v>
      </c>
      <c r="E6" s="23">
        <v>6933.86</v>
      </c>
      <c r="F6" s="39"/>
      <c r="G6" s="22">
        <v>6959.23</v>
      </c>
      <c r="H6" s="23">
        <v>6967.01</v>
      </c>
      <c r="I6" s="39"/>
      <c r="J6" s="22">
        <v>6991.48</v>
      </c>
      <c r="K6" s="23">
        <v>6986</v>
      </c>
      <c r="L6" s="39"/>
      <c r="M6" s="22">
        <v>7088.51</v>
      </c>
      <c r="N6" s="23">
        <v>7141.83</v>
      </c>
      <c r="O6" s="39"/>
      <c r="P6" s="22">
        <v>7129.99</v>
      </c>
      <c r="Q6" s="23">
        <v>7118.11</v>
      </c>
      <c r="R6" s="39"/>
      <c r="S6" s="22">
        <v>7117.58</v>
      </c>
      <c r="T6" s="23">
        <v>7160.71</v>
      </c>
      <c r="U6" s="39"/>
      <c r="V6" s="22">
        <v>7167.21</v>
      </c>
      <c r="W6" s="23">
        <v>7172.45</v>
      </c>
    </row>
    <row r="7" spans="2:23" x14ac:dyDescent="0.2">
      <c r="B7" s="21" t="s">
        <v>21</v>
      </c>
      <c r="C7" s="39" t="s">
        <v>18</v>
      </c>
      <c r="D7" s="22">
        <v>18</v>
      </c>
      <c r="E7" s="23">
        <v>17.989999999999998</v>
      </c>
      <c r="F7" s="39" t="s">
        <v>18</v>
      </c>
      <c r="G7" s="22">
        <v>18.47</v>
      </c>
      <c r="H7" s="23">
        <v>18.399999999999999</v>
      </c>
      <c r="I7" s="39" t="s">
        <v>18</v>
      </c>
      <c r="J7" s="22">
        <v>17.88</v>
      </c>
      <c r="K7" s="23">
        <v>18.29</v>
      </c>
      <c r="L7" s="39" t="s">
        <v>18</v>
      </c>
      <c r="M7" s="22">
        <v>17.600000000000001</v>
      </c>
      <c r="N7" s="23">
        <v>17.399999999999999</v>
      </c>
      <c r="O7" s="39" t="s">
        <v>18</v>
      </c>
      <c r="P7" s="22">
        <v>17.41</v>
      </c>
      <c r="Q7" s="23">
        <v>17.75</v>
      </c>
      <c r="R7" s="39" t="s">
        <v>18</v>
      </c>
      <c r="S7" s="22">
        <v>19.239999999999998</v>
      </c>
      <c r="T7" s="23">
        <v>18.55</v>
      </c>
      <c r="U7" s="39" t="s">
        <v>18</v>
      </c>
      <c r="V7" s="22">
        <v>18.489999999999998</v>
      </c>
      <c r="W7" s="23">
        <v>18.52</v>
      </c>
    </row>
    <row r="8" spans="2:23" x14ac:dyDescent="0.2">
      <c r="B8" s="17"/>
      <c r="C8" s="2"/>
      <c r="D8" s="15"/>
      <c r="E8" s="58">
        <f>IF( E7 = "", "-", IFERROR( E7/D7-1, "-" ) )</f>
        <v>-5.555555555556424E-4</v>
      </c>
      <c r="F8" s="2"/>
      <c r="G8" s="15"/>
      <c r="H8" s="58">
        <f>IF( H7 = "", "-", IFERROR( H7/G7-1, "-" ) )</f>
        <v>-3.7899296155928797E-3</v>
      </c>
      <c r="I8" s="2"/>
      <c r="J8" s="15"/>
      <c r="K8" s="58">
        <f>IF( K7 = "", "-", IFERROR( K7/J7-1, "-" ) )</f>
        <v>2.2930648769574846E-2</v>
      </c>
      <c r="L8" s="2"/>
      <c r="M8" s="15"/>
      <c r="N8" s="58">
        <f>IF( N7 = "", "-", IFERROR( N7/M7-1, "-" ) )</f>
        <v>-1.1363636363636576E-2</v>
      </c>
      <c r="O8" s="2"/>
      <c r="P8" s="15"/>
      <c r="Q8" s="58">
        <f>IF( Q7 = "", "-", IFERROR( Q7/P7-1, "-" ) )</f>
        <v>1.9529006318207864E-2</v>
      </c>
      <c r="R8" s="2"/>
      <c r="S8" s="15"/>
      <c r="T8" s="58">
        <f>IF( T7 = "", "-", IFERROR( T7/S7-1, "-" ) )</f>
        <v>-3.5862785862785795E-2</v>
      </c>
      <c r="U8" s="2"/>
      <c r="V8" s="15"/>
      <c r="W8" s="58">
        <f>IF( W7 = "", "-", IFERROR( W7/V7-1, "-" ) )</f>
        <v>1.6224986479178582E-3</v>
      </c>
    </row>
    <row r="9" spans="2:23" x14ac:dyDescent="0.2">
      <c r="B9" s="18" t="s">
        <v>1</v>
      </c>
      <c r="C9" s="63">
        <f>IFERROR( C10/D6 - 1, "-" )</f>
        <v>4.4837616871289399E-3</v>
      </c>
      <c r="D9" s="12" t="s">
        <v>6</v>
      </c>
      <c r="E9" s="5" t="s">
        <v>6</v>
      </c>
      <c r="F9" s="63">
        <f>IFERROR( F10/G6 - 1, "-" )</f>
        <v>8.2911471527746805E-4</v>
      </c>
      <c r="G9" s="12" t="s">
        <v>6</v>
      </c>
      <c r="H9" s="5" t="s">
        <v>6</v>
      </c>
      <c r="I9" s="63">
        <f>IFERROR( I10/J6 - 1, "-" )</f>
        <v>4.0792507451927751E-3</v>
      </c>
      <c r="J9" s="12" t="s">
        <v>6</v>
      </c>
      <c r="K9" s="5" t="s">
        <v>6</v>
      </c>
      <c r="L9" s="63">
        <f>IFERROR( L10/M6 - 1, "-" )</f>
        <v>9.1556617681276542E-4</v>
      </c>
      <c r="M9" s="12" t="s">
        <v>6</v>
      </c>
      <c r="N9" s="5" t="s">
        <v>6</v>
      </c>
      <c r="O9" s="63">
        <f>IFERROR( O10/P6 - 1, "-" )</f>
        <v>7.0266578214006614E-4</v>
      </c>
      <c r="P9" s="12" t="s">
        <v>6</v>
      </c>
      <c r="Q9" s="5" t="s">
        <v>6</v>
      </c>
      <c r="R9" s="63">
        <f>IFERROR( R10/S6 - 1, "-" )</f>
        <v>2.4474610752531767E-3</v>
      </c>
      <c r="S9" s="12" t="s">
        <v>6</v>
      </c>
      <c r="T9" s="5" t="s">
        <v>6</v>
      </c>
      <c r="U9" s="63">
        <f>IFERROR( U10/V6 - 1, "-" )</f>
        <v>-1</v>
      </c>
      <c r="V9" s="12" t="s">
        <v>6</v>
      </c>
      <c r="W9" s="5" t="s">
        <v>6</v>
      </c>
    </row>
    <row r="10" spans="2:23" x14ac:dyDescent="0.2">
      <c r="B10" s="44" t="s">
        <v>9</v>
      </c>
      <c r="C10" s="45">
        <v>6965</v>
      </c>
      <c r="D10" s="46">
        <v>3.95</v>
      </c>
      <c r="E10" s="47">
        <f>( 3.7 + 3.67 )  / 2</f>
        <v>3.6850000000000001</v>
      </c>
      <c r="F10" s="45">
        <v>6965</v>
      </c>
      <c r="G10" s="46">
        <v>-4.92</v>
      </c>
      <c r="H10" s="47">
        <v>4.5999999999999996</v>
      </c>
      <c r="I10" s="45">
        <v>7020</v>
      </c>
      <c r="J10" s="46">
        <v>1.5</v>
      </c>
      <c r="K10" s="47">
        <v>-0.67</v>
      </c>
      <c r="L10" s="45">
        <v>7095</v>
      </c>
      <c r="M10" s="46">
        <v>-12.69</v>
      </c>
      <c r="N10" s="47">
        <v>47.8</v>
      </c>
      <c r="O10" s="45">
        <v>7135</v>
      </c>
      <c r="P10" s="46">
        <v>-6.63</v>
      </c>
      <c r="Q10" s="47">
        <v>0.47</v>
      </c>
      <c r="R10" s="45">
        <v>7135</v>
      </c>
      <c r="S10" s="46">
        <v>-8.26</v>
      </c>
      <c r="T10" s="47">
        <v>26.2</v>
      </c>
      <c r="U10" s="45"/>
      <c r="V10" s="46"/>
      <c r="W10" s="47"/>
    </row>
    <row r="11" spans="2:23" x14ac:dyDescent="0.2">
      <c r="B11" s="19" t="s">
        <v>8</v>
      </c>
      <c r="C11" s="6">
        <v>6980</v>
      </c>
      <c r="D11" s="11">
        <v>1.7</v>
      </c>
      <c r="E11" s="3">
        <f>( 1.6 + 1.57 ) / 2</f>
        <v>1.585</v>
      </c>
      <c r="F11" s="6">
        <v>6980</v>
      </c>
      <c r="G11" s="11">
        <v>1.62</v>
      </c>
      <c r="H11" s="3">
        <v>-0.75</v>
      </c>
      <c r="I11" s="6">
        <v>7060</v>
      </c>
      <c r="J11" s="11">
        <v>-0.28000000000000003</v>
      </c>
      <c r="K11" s="3">
        <v>0.12</v>
      </c>
      <c r="L11" s="6">
        <v>7100</v>
      </c>
      <c r="M11" s="11">
        <v>10.34</v>
      </c>
      <c r="N11" s="3">
        <v>-43</v>
      </c>
      <c r="O11" s="6">
        <v>7140</v>
      </c>
      <c r="P11" s="11">
        <v>4.63</v>
      </c>
      <c r="Q11" s="3">
        <v>-0.27</v>
      </c>
      <c r="R11" s="6">
        <v>7140</v>
      </c>
      <c r="S11" s="11">
        <v>6.51</v>
      </c>
      <c r="T11" s="3">
        <v>-21.35</v>
      </c>
      <c r="U11" s="6"/>
      <c r="V11" s="11"/>
      <c r="W11" s="3"/>
    </row>
    <row r="12" spans="2:23" x14ac:dyDescent="0.2">
      <c r="B12" s="19" t="s">
        <v>3</v>
      </c>
      <c r="C12" s="6">
        <f>IF( OR( C10 = "", C11 = ""), "-", ABS(C11-C10) )</f>
        <v>15</v>
      </c>
      <c r="D12" s="12">
        <f>D10-D11</f>
        <v>2.25</v>
      </c>
      <c r="E12" s="5">
        <f>E10-E11</f>
        <v>2.1</v>
      </c>
      <c r="F12" s="6">
        <f>IF( OR( F10 = "", F11 = ""), "-", ABS(F11-F10) )</f>
        <v>15</v>
      </c>
      <c r="G12" s="12">
        <f>G10+G11</f>
        <v>-3.3</v>
      </c>
      <c r="H12" s="5">
        <f>H10+H11</f>
        <v>3.8499999999999996</v>
      </c>
      <c r="I12" s="6">
        <f>IF( OR( I10 = "", I11 = ""), "-", ABS(I11-I10) )</f>
        <v>40</v>
      </c>
      <c r="J12" s="12">
        <f>J10+J11</f>
        <v>1.22</v>
      </c>
      <c r="K12" s="5">
        <f>K10+K11</f>
        <v>-0.55000000000000004</v>
      </c>
      <c r="L12" s="6">
        <f>IF( OR( L10 = "", L11 = ""), "-", ABS(L11-L10) )</f>
        <v>5</v>
      </c>
      <c r="M12" s="12">
        <f>M10+M11</f>
        <v>-2.3499999999999996</v>
      </c>
      <c r="N12" s="5">
        <f>N10+N11</f>
        <v>4.7999999999999972</v>
      </c>
      <c r="O12" s="6">
        <f>IF( OR( O10 = "", O11 = ""), "-", ABS(O11-O10) )</f>
        <v>5</v>
      </c>
      <c r="P12" s="12">
        <f>P10+P11</f>
        <v>-2</v>
      </c>
      <c r="Q12" s="5">
        <f>Q10+Q11</f>
        <v>0.19999999999999996</v>
      </c>
      <c r="R12" s="6">
        <f>IF( OR( R10 = "", R11 = ""), "-", ABS(R11-R10) )</f>
        <v>5</v>
      </c>
      <c r="S12" s="12">
        <f>S10+S11</f>
        <v>-1.75</v>
      </c>
      <c r="T12" s="5">
        <f>T10+T11</f>
        <v>4.8499999999999979</v>
      </c>
      <c r="U12" s="6" t="str">
        <f>IF( OR( U10 = "", U11 = ""), "-", ABS(U11-U10) )</f>
        <v>-</v>
      </c>
      <c r="V12" s="12">
        <f>V10+V11</f>
        <v>0</v>
      </c>
      <c r="W12" s="5">
        <f>W10+W11</f>
        <v>0</v>
      </c>
    </row>
    <row r="13" spans="2:23" x14ac:dyDescent="0.2">
      <c r="B13" s="20"/>
      <c r="C13" s="7"/>
      <c r="D13" s="11"/>
      <c r="E13" s="3"/>
      <c r="F13" s="7"/>
      <c r="G13" s="11"/>
      <c r="H13" s="3"/>
      <c r="I13" s="7"/>
      <c r="J13" s="11"/>
      <c r="K13" s="3"/>
      <c r="L13" s="7"/>
      <c r="M13" s="11"/>
      <c r="N13" s="3"/>
      <c r="O13" s="7"/>
      <c r="P13" s="11"/>
      <c r="Q13" s="3"/>
      <c r="R13" s="7"/>
      <c r="S13" s="11"/>
      <c r="T13" s="3"/>
      <c r="U13" s="7"/>
      <c r="V13" s="11"/>
      <c r="W13" s="3"/>
    </row>
    <row r="14" spans="2:23" x14ac:dyDescent="0.2">
      <c r="B14" s="18" t="s">
        <v>2</v>
      </c>
      <c r="C14" s="63">
        <f>IFERROR( C15/D6 - 1, "-" )</f>
        <v>-1</v>
      </c>
      <c r="D14" s="12" t="s">
        <v>6</v>
      </c>
      <c r="E14" s="5" t="s">
        <v>6</v>
      </c>
      <c r="F14" s="63">
        <f>IFERROR( F15/G6 - 1, "-" )</f>
        <v>-1</v>
      </c>
      <c r="G14" s="12" t="s">
        <v>6</v>
      </c>
      <c r="H14" s="5" t="s">
        <v>6</v>
      </c>
      <c r="I14" s="63">
        <f>IFERROR( I15/J6 - 1, "-" )</f>
        <v>-1.0223872484795726E-2</v>
      </c>
      <c r="J14" s="12" t="s">
        <v>6</v>
      </c>
      <c r="K14" s="5" t="s">
        <v>6</v>
      </c>
      <c r="L14" s="63">
        <f>IFERROR( L15/M6 - 1, "-" )</f>
        <v>-1</v>
      </c>
      <c r="M14" s="12" t="s">
        <v>6</v>
      </c>
      <c r="N14" s="5" t="s">
        <v>6</v>
      </c>
      <c r="O14" s="63">
        <f>IFERROR( O15/P6 - 1, "-" )</f>
        <v>-1</v>
      </c>
      <c r="P14" s="12" t="s">
        <v>6</v>
      </c>
      <c r="Q14" s="5" t="s">
        <v>6</v>
      </c>
      <c r="R14" s="63">
        <f>IFERROR( R15/S6 - 1, "-" )</f>
        <v>-1</v>
      </c>
      <c r="S14" s="12" t="s">
        <v>6</v>
      </c>
      <c r="T14" s="5" t="s">
        <v>6</v>
      </c>
      <c r="U14" s="63">
        <f>IFERROR( U15/V6 - 1, "-" )</f>
        <v>-1.0059702450465613E-3</v>
      </c>
      <c r="V14" s="12" t="s">
        <v>6</v>
      </c>
      <c r="W14" s="5" t="s">
        <v>6</v>
      </c>
    </row>
    <row r="15" spans="2:23" x14ac:dyDescent="0.2">
      <c r="B15" s="44" t="s">
        <v>10</v>
      </c>
      <c r="C15" s="45"/>
      <c r="D15" s="46"/>
      <c r="E15" s="47"/>
      <c r="F15" s="45"/>
      <c r="G15" s="46"/>
      <c r="H15" s="47"/>
      <c r="I15" s="45">
        <v>6920</v>
      </c>
      <c r="J15" s="46">
        <v>2.35</v>
      </c>
      <c r="K15" s="47">
        <v>-3.75</v>
      </c>
      <c r="L15" s="45"/>
      <c r="M15" s="46"/>
      <c r="N15" s="47"/>
      <c r="O15" s="45"/>
      <c r="P15" s="46"/>
      <c r="Q15" s="47"/>
      <c r="R15" s="45"/>
      <c r="S15" s="46"/>
      <c r="T15" s="47"/>
      <c r="U15" s="45">
        <v>7160</v>
      </c>
      <c r="V15" s="46">
        <v>-5.48</v>
      </c>
      <c r="W15" s="47">
        <v>2.2799999999999998</v>
      </c>
    </row>
    <row r="16" spans="2:23" x14ac:dyDescent="0.2">
      <c r="B16" s="19" t="s">
        <v>11</v>
      </c>
      <c r="C16" s="6"/>
      <c r="D16" s="11"/>
      <c r="E16" s="3"/>
      <c r="F16" s="6"/>
      <c r="G16" s="11"/>
      <c r="H16" s="3"/>
      <c r="I16" s="6">
        <v>6960</v>
      </c>
      <c r="J16" s="11">
        <f>-0.82</f>
        <v>-0.82</v>
      </c>
      <c r="K16" s="3">
        <v>1.3</v>
      </c>
      <c r="L16" s="6"/>
      <c r="M16" s="11"/>
      <c r="N16" s="3"/>
      <c r="O16" s="6"/>
      <c r="P16" s="11"/>
      <c r="Q16" s="3"/>
      <c r="R16" s="6"/>
      <c r="S16" s="11"/>
      <c r="T16" s="3"/>
      <c r="U16" s="6">
        <v>7155</v>
      </c>
      <c r="V16" s="11">
        <v>4.13</v>
      </c>
      <c r="W16" s="3">
        <v>-1.68</v>
      </c>
    </row>
    <row r="17" spans="2:25" x14ac:dyDescent="0.2">
      <c r="B17" s="19" t="s">
        <v>3</v>
      </c>
      <c r="C17" s="6" t="str">
        <f>IF( OR( C15 = "", C16 = ""), "-", ABS(C16-C15) )</f>
        <v>-</v>
      </c>
      <c r="D17" s="12">
        <f t="shared" ref="D17" si="0">D15-D16</f>
        <v>0</v>
      </c>
      <c r="E17" s="127">
        <f>E15-E16</f>
        <v>0</v>
      </c>
      <c r="F17" s="6" t="str">
        <f>IF( OR( F15 = "", F16 = ""), "-", ABS(F16-F15) )</f>
        <v>-</v>
      </c>
      <c r="G17" s="12">
        <f t="shared" ref="G17" si="1">G15-G16</f>
        <v>0</v>
      </c>
      <c r="H17" s="127">
        <f>H15-H16</f>
        <v>0</v>
      </c>
      <c r="I17" s="6">
        <f>IF( OR( I15 = "", I16 = ""), "-", ABS(I16-I15) )</f>
        <v>40</v>
      </c>
      <c r="J17" s="12">
        <f>J15+J16</f>
        <v>1.5300000000000002</v>
      </c>
      <c r="K17" s="5">
        <f>K15+K16</f>
        <v>-2.4500000000000002</v>
      </c>
      <c r="L17" s="6" t="str">
        <f>IF( OR( L15 = "", L16 = ""), "-", ABS(L16-L15) )</f>
        <v>-</v>
      </c>
      <c r="M17" s="12">
        <f>M15+M16</f>
        <v>0</v>
      </c>
      <c r="N17" s="127">
        <f>N15-N16</f>
        <v>0</v>
      </c>
      <c r="O17" s="6" t="str">
        <f>IF( OR( O15 = "", O16 = ""), "-", ABS(O16-O15) )</f>
        <v>-</v>
      </c>
      <c r="P17" s="12">
        <f>P15+P16</f>
        <v>0</v>
      </c>
      <c r="Q17" s="127">
        <f>Q15-Q16</f>
        <v>0</v>
      </c>
      <c r="R17" s="6" t="str">
        <f>IF( OR( R15 = "", R16 = ""), "-", ABS(R16-R15) )</f>
        <v>-</v>
      </c>
      <c r="S17" s="12">
        <f>S15+S16</f>
        <v>0</v>
      </c>
      <c r="T17" s="127">
        <f>T15-T16</f>
        <v>0</v>
      </c>
      <c r="U17" s="6">
        <f>IF( OR( U15 = "", U16 = ""), "-", ABS(U16-U15) )</f>
        <v>5</v>
      </c>
      <c r="V17" s="12">
        <f>V15+V16</f>
        <v>-1.3500000000000005</v>
      </c>
      <c r="W17" s="127">
        <f>W15+W16</f>
        <v>0.59999999999999987</v>
      </c>
    </row>
    <row r="18" spans="2:25" x14ac:dyDescent="0.2">
      <c r="B18" s="20"/>
      <c r="C18" s="7"/>
      <c r="D18" s="11"/>
      <c r="E18" s="3"/>
      <c r="F18" s="7"/>
      <c r="G18" s="11"/>
      <c r="H18" s="3"/>
      <c r="I18" s="7"/>
      <c r="J18" s="11"/>
      <c r="K18" s="3"/>
      <c r="L18" s="7"/>
      <c r="M18" s="11"/>
      <c r="N18" s="3"/>
      <c r="O18" s="7"/>
      <c r="P18" s="11"/>
      <c r="Q18" s="3"/>
      <c r="R18" s="7"/>
      <c r="S18" s="11"/>
      <c r="T18" s="3"/>
      <c r="U18" s="7"/>
      <c r="V18" s="11"/>
      <c r="W18" s="3"/>
    </row>
    <row r="19" spans="2:25" x14ac:dyDescent="0.2">
      <c r="B19" s="20"/>
      <c r="C19" s="8" t="s">
        <v>14</v>
      </c>
      <c r="D19" s="12" t="s">
        <v>15</v>
      </c>
      <c r="E19" s="5" t="s">
        <v>17</v>
      </c>
      <c r="F19" s="8" t="s">
        <v>14</v>
      </c>
      <c r="G19" s="12" t="s">
        <v>15</v>
      </c>
      <c r="H19" s="5" t="s">
        <v>17</v>
      </c>
      <c r="I19" s="8" t="s">
        <v>14</v>
      </c>
      <c r="J19" s="12" t="s">
        <v>15</v>
      </c>
      <c r="K19" s="5" t="s">
        <v>17</v>
      </c>
      <c r="L19" s="8" t="s">
        <v>14</v>
      </c>
      <c r="M19" s="12" t="s">
        <v>15</v>
      </c>
      <c r="N19" s="5" t="s">
        <v>17</v>
      </c>
      <c r="O19" s="8" t="s">
        <v>14</v>
      </c>
      <c r="P19" s="12" t="s">
        <v>15</v>
      </c>
      <c r="Q19" s="5" t="s">
        <v>17</v>
      </c>
      <c r="R19" s="8" t="s">
        <v>14</v>
      </c>
      <c r="S19" s="12" t="s">
        <v>15</v>
      </c>
      <c r="T19" s="5" t="s">
        <v>17</v>
      </c>
      <c r="U19" s="8" t="s">
        <v>14</v>
      </c>
      <c r="V19" s="12" t="s">
        <v>15</v>
      </c>
      <c r="W19" s="5" t="s">
        <v>17</v>
      </c>
    </row>
    <row r="20" spans="2:25" x14ac:dyDescent="0.2">
      <c r="B20" s="24" t="s">
        <v>198</v>
      </c>
      <c r="C20" s="25">
        <f>MAX( C12, C17 )</f>
        <v>15</v>
      </c>
      <c r="D20" s="26">
        <f>D12+D17</f>
        <v>2.25</v>
      </c>
      <c r="E20" s="27">
        <f>-(E12+E17)</f>
        <v>-2.1</v>
      </c>
      <c r="F20" s="25">
        <f>MAX( F12, F17 )</f>
        <v>15</v>
      </c>
      <c r="G20" s="26">
        <f>G12+G17</f>
        <v>-3.3</v>
      </c>
      <c r="H20" s="27">
        <f>(H12+H17)</f>
        <v>3.8499999999999996</v>
      </c>
      <c r="I20" s="25">
        <f>MAX( I12, I17 )</f>
        <v>40</v>
      </c>
      <c r="J20" s="26">
        <f>J12+J17</f>
        <v>2.75</v>
      </c>
      <c r="K20" s="27">
        <f>(K12+K17)</f>
        <v>-3</v>
      </c>
      <c r="L20" s="25">
        <f>MAX( L12, L17 )</f>
        <v>5</v>
      </c>
      <c r="M20" s="26">
        <f>M12+M17</f>
        <v>-2.3499999999999996</v>
      </c>
      <c r="N20" s="27">
        <f>(N12+N17)</f>
        <v>4.7999999999999972</v>
      </c>
      <c r="O20" s="25">
        <f>MAX( O12, O17 )</f>
        <v>5</v>
      </c>
      <c r="P20" s="26">
        <f>P12+P17</f>
        <v>-2</v>
      </c>
      <c r="Q20" s="27">
        <f>(Q12+Q17)</f>
        <v>0.19999999999999996</v>
      </c>
      <c r="R20" s="25">
        <f>MAX( R12, R17 )</f>
        <v>5</v>
      </c>
      <c r="S20" s="26">
        <f>S12+S17</f>
        <v>-1.75</v>
      </c>
      <c r="T20" s="27">
        <f>(T12+T17)</f>
        <v>4.8499999999999979</v>
      </c>
      <c r="U20" s="25">
        <f>MAX( U12, U17 )</f>
        <v>5</v>
      </c>
      <c r="V20" s="26">
        <f>V12+V17</f>
        <v>-1.3500000000000005</v>
      </c>
      <c r="W20" s="27">
        <f>(W12+W17)</f>
        <v>0.59999999999999987</v>
      </c>
    </row>
    <row r="21" spans="2:25" x14ac:dyDescent="0.2">
      <c r="B21" s="17"/>
      <c r="C21" s="2"/>
      <c r="D21" s="11"/>
      <c r="E21" s="3"/>
      <c r="F21" s="2"/>
      <c r="G21" s="11"/>
      <c r="H21" s="3"/>
      <c r="I21" s="2"/>
      <c r="J21" s="11"/>
      <c r="K21" s="3"/>
      <c r="L21" s="2"/>
      <c r="M21" s="11"/>
      <c r="N21" s="3"/>
      <c r="O21" s="2"/>
      <c r="P21" s="11"/>
      <c r="Q21" s="3"/>
      <c r="R21" s="2"/>
      <c r="S21" s="11"/>
      <c r="T21" s="3"/>
      <c r="U21" s="2"/>
      <c r="V21" s="11"/>
      <c r="W21" s="3"/>
    </row>
    <row r="22" spans="2:25" x14ac:dyDescent="0.2">
      <c r="B22" s="18" t="s">
        <v>16</v>
      </c>
      <c r="C22" s="6" t="s">
        <v>18</v>
      </c>
      <c r="D22" s="16">
        <v>2</v>
      </c>
      <c r="E22" s="9">
        <f>D22</f>
        <v>2</v>
      </c>
      <c r="F22" s="6" t="s">
        <v>18</v>
      </c>
      <c r="G22" s="16">
        <v>1</v>
      </c>
      <c r="H22" s="9">
        <f>G22</f>
        <v>1</v>
      </c>
      <c r="I22" s="6" t="s">
        <v>18</v>
      </c>
      <c r="J22" s="16">
        <v>2</v>
      </c>
      <c r="K22" s="9">
        <f>J22</f>
        <v>2</v>
      </c>
      <c r="L22" s="6" t="s">
        <v>18</v>
      </c>
      <c r="M22" s="16">
        <v>1</v>
      </c>
      <c r="N22" s="9">
        <f>M22</f>
        <v>1</v>
      </c>
      <c r="O22" s="6" t="s">
        <v>18</v>
      </c>
      <c r="P22" s="16">
        <v>2</v>
      </c>
      <c r="Q22" s="9">
        <f>P22</f>
        <v>2</v>
      </c>
      <c r="R22" s="6" t="s">
        <v>18</v>
      </c>
      <c r="S22" s="16">
        <v>2</v>
      </c>
      <c r="T22" s="9">
        <f>S22</f>
        <v>2</v>
      </c>
      <c r="U22" s="6" t="s">
        <v>18</v>
      </c>
      <c r="V22" s="16">
        <v>1</v>
      </c>
      <c r="W22" s="9">
        <f>V22</f>
        <v>1</v>
      </c>
    </row>
    <row r="23" spans="2:25" x14ac:dyDescent="0.2">
      <c r="B23" s="18"/>
      <c r="C23" s="6"/>
      <c r="D23" s="16"/>
      <c r="E23" s="9"/>
      <c r="F23" s="6"/>
      <c r="G23" s="16"/>
      <c r="H23" s="9"/>
      <c r="I23" s="6"/>
      <c r="J23" s="16"/>
      <c r="K23" s="9"/>
      <c r="L23" s="6"/>
      <c r="M23" s="16"/>
      <c r="N23" s="9"/>
      <c r="O23" s="6"/>
      <c r="P23" s="16"/>
      <c r="Q23" s="9"/>
      <c r="R23" s="6"/>
      <c r="S23" s="16"/>
      <c r="T23" s="9"/>
      <c r="U23" s="6"/>
      <c r="V23" s="16"/>
      <c r="W23" s="9"/>
    </row>
    <row r="24" spans="2:25" x14ac:dyDescent="0.2">
      <c r="B24" s="24" t="s">
        <v>199</v>
      </c>
      <c r="C24" s="25"/>
      <c r="D24" s="26">
        <f>D22 * 100 * D20</f>
        <v>450</v>
      </c>
      <c r="E24" s="27">
        <f>E22 * 100 * E20</f>
        <v>-420</v>
      </c>
      <c r="F24" s="25"/>
      <c r="G24" s="26">
        <f>G22 * 100 * G20</f>
        <v>-330</v>
      </c>
      <c r="H24" s="27">
        <f>H22 * 100 * H20</f>
        <v>384.99999999999994</v>
      </c>
      <c r="I24" s="25"/>
      <c r="J24" s="26">
        <f>J22 * 100 * J20</f>
        <v>550</v>
      </c>
      <c r="K24" s="27">
        <f>K22 * 100 * K20</f>
        <v>-600</v>
      </c>
      <c r="L24" s="25"/>
      <c r="M24" s="26">
        <f>M22 * 100 * M20</f>
        <v>-234.99999999999997</v>
      </c>
      <c r="N24" s="27">
        <f>N22 * 100 * N20</f>
        <v>479.99999999999972</v>
      </c>
      <c r="O24" s="25"/>
      <c r="P24" s="26">
        <f>P22 * 100 * P20</f>
        <v>-400</v>
      </c>
      <c r="Q24" s="27">
        <f>Q22 * 100 * Q20</f>
        <v>39.999999999999993</v>
      </c>
      <c r="R24" s="25"/>
      <c r="S24" s="26">
        <f>S22 * 100 * S20</f>
        <v>-350</v>
      </c>
      <c r="T24" s="27">
        <f>T22 * 100 * T20</f>
        <v>969.99999999999955</v>
      </c>
      <c r="U24" s="25"/>
      <c r="V24" s="26">
        <f>V22 * 100 * V20</f>
        <v>-135.00000000000006</v>
      </c>
      <c r="W24" s="27">
        <f>W22 * 100 * W20</f>
        <v>59.999999999999986</v>
      </c>
    </row>
    <row r="25" spans="2:25" x14ac:dyDescent="0.2">
      <c r="B25" s="18"/>
      <c r="C25" s="6"/>
      <c r="D25" s="16"/>
      <c r="E25" s="9"/>
      <c r="F25" s="6"/>
      <c r="G25" s="16"/>
      <c r="H25" s="9"/>
      <c r="I25" s="6"/>
      <c r="J25" s="16"/>
      <c r="K25" s="9"/>
      <c r="L25" s="6"/>
      <c r="M25" s="16"/>
      <c r="N25" s="9"/>
      <c r="O25" s="6"/>
      <c r="P25" s="16"/>
      <c r="Q25" s="9"/>
      <c r="R25" s="6"/>
      <c r="S25" s="16"/>
      <c r="T25" s="9"/>
      <c r="U25" s="6"/>
      <c r="V25" s="16"/>
      <c r="W25" s="9"/>
    </row>
    <row r="26" spans="2:25" x14ac:dyDescent="0.2">
      <c r="B26" s="18"/>
      <c r="C26" s="6"/>
      <c r="D26" s="16"/>
      <c r="E26" s="9"/>
      <c r="F26" s="6"/>
      <c r="G26" s="16"/>
      <c r="H26" s="9"/>
      <c r="I26" s="6"/>
      <c r="J26" s="16"/>
      <c r="K26" s="9"/>
      <c r="L26" s="6"/>
      <c r="M26" s="16"/>
      <c r="N26" s="9"/>
      <c r="O26" s="6"/>
      <c r="P26" s="16"/>
      <c r="Q26" s="9"/>
      <c r="R26" s="6"/>
      <c r="S26" s="16"/>
      <c r="T26" s="9"/>
      <c r="U26" s="6"/>
      <c r="V26" s="16"/>
      <c r="W26" s="9"/>
    </row>
    <row r="27" spans="2:25" x14ac:dyDescent="0.2">
      <c r="B27" s="28" t="s">
        <v>4</v>
      </c>
      <c r="C27" s="29" t="s">
        <v>18</v>
      </c>
      <c r="D27" s="30">
        <f>100 * D20 * D22</f>
        <v>450</v>
      </c>
      <c r="E27" s="31"/>
      <c r="F27" s="29" t="s">
        <v>18</v>
      </c>
      <c r="G27" s="30">
        <f>(F20+G20) * 100 * G22</f>
        <v>1170</v>
      </c>
      <c r="H27" s="31"/>
      <c r="I27" s="29" t="s">
        <v>18</v>
      </c>
      <c r="J27" s="30">
        <f>100 * J20 * J22</f>
        <v>550</v>
      </c>
      <c r="K27" s="31"/>
      <c r="L27" s="29" t="s">
        <v>18</v>
      </c>
      <c r="M27" s="30">
        <f>100 * ( L20 + M20 ) * M22</f>
        <v>265.00000000000006</v>
      </c>
      <c r="N27" s="31"/>
      <c r="O27" s="29" t="s">
        <v>18</v>
      </c>
      <c r="P27" s="30">
        <f>100 * ( O20 + P20 ) * P22</f>
        <v>600</v>
      </c>
      <c r="Q27" s="31"/>
      <c r="R27" s="29" t="s">
        <v>18</v>
      </c>
      <c r="S27" s="30">
        <f>100 * ( R20 + S20 ) * S22</f>
        <v>650</v>
      </c>
      <c r="T27" s="31"/>
      <c r="U27" s="29" t="s">
        <v>18</v>
      </c>
      <c r="V27" s="30">
        <f>100 * ( U20 + V20 ) * V22</f>
        <v>364.99999999999994</v>
      </c>
      <c r="W27" s="31"/>
    </row>
    <row r="28" spans="2:25" x14ac:dyDescent="0.2">
      <c r="B28" s="40" t="s">
        <v>20</v>
      </c>
      <c r="C28" s="41"/>
      <c r="D28" s="42">
        <f>D20 * 100 * D22</f>
        <v>450</v>
      </c>
      <c r="E28" s="43"/>
      <c r="F28" s="41"/>
      <c r="G28" s="42">
        <f>G20 * 100 * G22</f>
        <v>-330</v>
      </c>
      <c r="H28" s="43"/>
      <c r="I28" s="41"/>
      <c r="J28" s="42">
        <f>J27 * -J22</f>
        <v>-1100</v>
      </c>
      <c r="K28" s="43"/>
      <c r="L28" s="41"/>
      <c r="M28" s="42">
        <f>M20 * 100 * M22</f>
        <v>-234.99999999999997</v>
      </c>
      <c r="N28" s="43"/>
      <c r="O28" s="41"/>
      <c r="P28" s="42">
        <f>P20 * 100 * P22</f>
        <v>-400</v>
      </c>
      <c r="Q28" s="43"/>
      <c r="R28" s="41"/>
      <c r="S28" s="42">
        <f>S20 * 100 * S22</f>
        <v>-350</v>
      </c>
      <c r="T28" s="43"/>
      <c r="U28" s="41"/>
      <c r="V28" s="42">
        <f>V20 * 100 * V22</f>
        <v>-135.00000000000006</v>
      </c>
      <c r="W28" s="43"/>
    </row>
    <row r="29" spans="2:25" x14ac:dyDescent="0.2">
      <c r="B29" s="35" t="s">
        <v>5</v>
      </c>
      <c r="C29" s="36" t="s">
        <v>18</v>
      </c>
      <c r="D29" s="37">
        <f>IF( D27 = 0, 0, (-100 * C20 + D27) * D22 )</f>
        <v>-2100</v>
      </c>
      <c r="E29" s="38"/>
      <c r="F29" s="36" t="s">
        <v>18</v>
      </c>
      <c r="G29" s="37">
        <f>IF( G27 = 0, 0, (-100 * F20 + G27) * G22 )</f>
        <v>-330</v>
      </c>
      <c r="H29" s="38"/>
      <c r="I29" s="36" t="s">
        <v>18</v>
      </c>
      <c r="J29" s="37">
        <f>IF( J27 = 0, 0, (-100 * I20 + J27) * J22 )</f>
        <v>-6900</v>
      </c>
      <c r="K29" s="38"/>
      <c r="L29" s="36" t="s">
        <v>18</v>
      </c>
      <c r="M29" s="37">
        <f>M20 * 100 * M22</f>
        <v>-234.99999999999997</v>
      </c>
      <c r="N29" s="38"/>
      <c r="O29" s="36" t="s">
        <v>18</v>
      </c>
      <c r="P29" s="37">
        <f>P20 * 100 * P22</f>
        <v>-400</v>
      </c>
      <c r="Q29" s="38"/>
      <c r="R29" s="36" t="s">
        <v>18</v>
      </c>
      <c r="S29" s="37">
        <f>S20 * 100 * S22</f>
        <v>-350</v>
      </c>
      <c r="T29" s="38"/>
      <c r="U29" s="36" t="s">
        <v>18</v>
      </c>
      <c r="V29" s="37">
        <f>V20 * 100 * V22</f>
        <v>-135.00000000000006</v>
      </c>
      <c r="W29" s="38"/>
    </row>
    <row r="30" spans="2:25" x14ac:dyDescent="0.2">
      <c r="B30" s="17"/>
      <c r="C30" s="2"/>
      <c r="D30" s="13"/>
      <c r="E30" s="3"/>
      <c r="F30" s="2"/>
      <c r="G30" s="13"/>
      <c r="H30" s="3"/>
      <c r="I30" s="2"/>
      <c r="J30" s="13"/>
      <c r="K30" s="3"/>
      <c r="L30" s="2"/>
      <c r="M30" s="13"/>
      <c r="N30" s="3"/>
      <c r="O30" s="2"/>
      <c r="P30" s="13"/>
      <c r="Q30" s="3"/>
      <c r="R30" s="2"/>
      <c r="S30" s="13"/>
      <c r="T30" s="3"/>
      <c r="U30" s="2"/>
      <c r="V30" s="13"/>
      <c r="W30" s="3"/>
    </row>
    <row r="31" spans="2:25" x14ac:dyDescent="0.2">
      <c r="B31" s="32" t="s">
        <v>19</v>
      </c>
      <c r="C31" s="33" t="s">
        <v>18</v>
      </c>
      <c r="D31" s="34" t="str">
        <f t="shared" ref="D31" si="2">IFERROR( "1:" &amp; TEXT( -D29/D27, "#" ), "-" )</f>
        <v>1:5</v>
      </c>
      <c r="E31" s="116">
        <f t="shared" ref="E31" si="3">ROUND( ( D20 + E20 ) * D22 * 100, 2 )</f>
        <v>30</v>
      </c>
      <c r="F31" s="33" t="s">
        <v>18</v>
      </c>
      <c r="G31" s="34" t="str">
        <f>IFERROR( "1:" &amp; TEXT( -G27/G29, "#" ), "-" )</f>
        <v>1:4</v>
      </c>
      <c r="H31" s="116">
        <f t="shared" ref="H31" si="4">ROUND( ( G20 + H20 ) * G22 * 100, 2 )</f>
        <v>55</v>
      </c>
      <c r="I31" s="33" t="s">
        <v>18</v>
      </c>
      <c r="J31" s="34" t="str">
        <f t="shared" ref="J31" si="5">IFERROR( "1:" &amp; TEXT( -J29/J27, "#" ), "-" )</f>
        <v>1:13</v>
      </c>
      <c r="K31" s="116">
        <f t="shared" ref="K31" si="6">ROUND( ( J20 + K20 ) * J22 * 100, 2 )</f>
        <v>-50</v>
      </c>
      <c r="L31" s="33" t="s">
        <v>18</v>
      </c>
      <c r="M31" s="34" t="str">
        <f>IFERROR( "1:" &amp; TEXT( -M27/M29, "#" ), "-" )</f>
        <v>1:1</v>
      </c>
      <c r="N31" s="116">
        <f t="shared" ref="N31" si="7">ROUND( ( M20 + N20 ) * M22 * 100, 2 )</f>
        <v>245</v>
      </c>
      <c r="O31" s="33" t="s">
        <v>18</v>
      </c>
      <c r="P31" s="34" t="str">
        <f>IFERROR( "1:" &amp; TEXT( -P27/P29, "#" ), "-" )</f>
        <v>1:2</v>
      </c>
      <c r="Q31" s="116">
        <f t="shared" ref="Q31" si="8">ROUND( ( P20 + Q20 ) * P22 * 100, 2 )</f>
        <v>-360</v>
      </c>
      <c r="R31" s="33" t="s">
        <v>18</v>
      </c>
      <c r="S31" s="34" t="str">
        <f>IFERROR( "1:" &amp; TEXT( -S27/S29, "#" ), "-" )</f>
        <v>1:2</v>
      </c>
      <c r="T31" s="116">
        <f>ROUND( ( S20 + T20 ) * S22 * 100, 2 )</f>
        <v>620</v>
      </c>
      <c r="U31" s="33" t="s">
        <v>18</v>
      </c>
      <c r="V31" s="34" t="str">
        <f>IFERROR( "1:" &amp; TEXT( -V27/V29, "#" ), "-" )</f>
        <v>1:3</v>
      </c>
      <c r="W31" s="116">
        <f>ROUND( ( V20 + W20 ) * V22 * 100, 2 )</f>
        <v>-75</v>
      </c>
      <c r="Y31" s="59"/>
    </row>
    <row r="32" spans="2:25" x14ac:dyDescent="0.2">
      <c r="D32" s="112"/>
      <c r="E32" s="113">
        <f>IF( E31 = "", "-", IFERROR( E31/D27, "-" ) )</f>
        <v>6.6666666666666666E-2</v>
      </c>
      <c r="G32" s="112"/>
      <c r="H32" s="113">
        <f>IF( H31 = "", "-", IFERROR( H31/G27, "-" ) )</f>
        <v>4.7008547008547008E-2</v>
      </c>
      <c r="J32" s="112"/>
      <c r="K32" s="113">
        <f>IF( K31 = "", "-", IFERROR( K31/J27, "-" ) )</f>
        <v>-9.0909090909090912E-2</v>
      </c>
      <c r="M32" s="112"/>
      <c r="N32" s="113">
        <f>IF( N31 = "", "-", IFERROR( N31/M27, "-" ) )</f>
        <v>0.92452830188679225</v>
      </c>
      <c r="P32" s="112"/>
      <c r="Q32" s="113">
        <f>IF( Q31 = "", "-", IFERROR( Q31/P27, "-" ) )</f>
        <v>-0.6</v>
      </c>
      <c r="S32" s="112"/>
      <c r="T32" s="113">
        <f>IF( T31 = "", "-", IFERROR( T31/S27, "-" ) )</f>
        <v>0.9538461538461539</v>
      </c>
      <c r="V32" s="112"/>
      <c r="W32" s="113">
        <f>IF( W31 = "", "-", IFERROR( W31/V27, "-" ) )</f>
        <v>-0.20547945205479456</v>
      </c>
    </row>
    <row r="33" spans="4:23" x14ac:dyDescent="0.2">
      <c r="E33" s="126">
        <f>110 + E31</f>
        <v>140</v>
      </c>
      <c r="H33" s="126">
        <f>E33 + H31</f>
        <v>195</v>
      </c>
      <c r="K33" s="126">
        <f>H33 + K31</f>
        <v>145</v>
      </c>
      <c r="N33" s="126">
        <f>K33 + N31</f>
        <v>390</v>
      </c>
      <c r="Q33" s="126">
        <f>N33 + Q31</f>
        <v>30</v>
      </c>
      <c r="T33" s="126">
        <f>Q33 + T31</f>
        <v>650</v>
      </c>
      <c r="W33" s="126">
        <f>T33 + W31</f>
        <v>575</v>
      </c>
    </row>
    <row r="34" spans="4:23" x14ac:dyDescent="0.2">
      <c r="D34" s="121" t="s">
        <v>52</v>
      </c>
      <c r="G34" s="121" t="s">
        <v>52</v>
      </c>
      <c r="J34" s="121" t="s">
        <v>52</v>
      </c>
      <c r="K34" s="1">
        <v>2.4</v>
      </c>
      <c r="M34" s="121" t="s">
        <v>52</v>
      </c>
      <c r="N34" s="1">
        <v>4.8</v>
      </c>
      <c r="P34" s="121" t="s">
        <v>52</v>
      </c>
      <c r="S34" s="121" t="s">
        <v>52</v>
      </c>
      <c r="T34" s="1">
        <v>4.8499999999999996</v>
      </c>
      <c r="V34" s="121" t="s">
        <v>52</v>
      </c>
    </row>
    <row r="35" spans="4:23" x14ac:dyDescent="0.2">
      <c r="D35" s="121" t="s">
        <v>53</v>
      </c>
      <c r="G35" s="121" t="s">
        <v>53</v>
      </c>
      <c r="J35" s="121" t="s">
        <v>53</v>
      </c>
      <c r="K35" s="1">
        <v>2.6</v>
      </c>
      <c r="M35" s="121" t="s">
        <v>53</v>
      </c>
      <c r="N35" s="1">
        <v>4.8</v>
      </c>
      <c r="P35" s="121" t="s">
        <v>53</v>
      </c>
      <c r="S35" s="121" t="s">
        <v>53</v>
      </c>
      <c r="T35" s="1">
        <v>4.8499999999999996</v>
      </c>
      <c r="V35" s="121" t="s">
        <v>53</v>
      </c>
    </row>
  </sheetData>
  <mergeCells count="15">
    <mergeCell ref="B2:B5"/>
    <mergeCell ref="F2:H2"/>
    <mergeCell ref="F3:H3"/>
    <mergeCell ref="I2:K2"/>
    <mergeCell ref="I3:K3"/>
    <mergeCell ref="C2:E2"/>
    <mergeCell ref="C3:E3"/>
    <mergeCell ref="U2:W2"/>
    <mergeCell ref="U3:W3"/>
    <mergeCell ref="R2:T2"/>
    <mergeCell ref="R3:T3"/>
    <mergeCell ref="L2:N2"/>
    <mergeCell ref="L3:N3"/>
    <mergeCell ref="O2:Q2"/>
    <mergeCell ref="O3:Q3"/>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4FEAC-7171-FE4D-93AB-6B4990AB04F3}">
  <dimension ref="B1:AR38"/>
  <sheetViews>
    <sheetView showGridLines="0" zoomScale="150" zoomScaleNormal="150" workbookViewId="0">
      <pane xSplit="2" topLeftCell="S1" activePane="topRight" state="frozen"/>
      <selection pane="topRight" activeCell="X12" sqref="X12"/>
    </sheetView>
  </sheetViews>
  <sheetFormatPr baseColWidth="10" defaultRowHeight="16" x14ac:dyDescent="0.2"/>
  <cols>
    <col min="1" max="1" width="1.83203125" customWidth="1"/>
    <col min="2" max="2" width="20.83203125" customWidth="1"/>
    <col min="3" max="3" width="6.83203125" customWidth="1"/>
    <col min="4" max="5" width="10.83203125" style="1" customWidth="1"/>
    <col min="6" max="6" width="6.83203125" customWidth="1"/>
    <col min="7" max="8" width="10.83203125" style="1" customWidth="1"/>
    <col min="9" max="9" width="6.83203125" customWidth="1"/>
    <col min="10" max="11" width="10.83203125" style="1" customWidth="1"/>
    <col min="12" max="12" width="6.83203125" customWidth="1"/>
    <col min="13" max="14" width="10.83203125" style="1"/>
    <col min="15" max="15" width="6.83203125" customWidth="1"/>
    <col min="16" max="17" width="10.83203125" style="1"/>
    <col min="18" max="18" width="6.83203125" customWidth="1"/>
    <col min="19" max="20" width="10.83203125" style="1"/>
    <col min="21" max="21" width="6.83203125" customWidth="1"/>
    <col min="22" max="23" width="10.83203125" style="1"/>
    <col min="24" max="24" width="6.83203125" customWidth="1"/>
    <col min="25" max="26" width="10.83203125" style="1"/>
    <col min="27" max="27" width="6.83203125" customWidth="1"/>
    <col min="28" max="29" width="10.83203125" style="1"/>
    <col min="30" max="30" width="6.83203125" customWidth="1"/>
    <col min="31" max="31" width="11.6640625" style="1" customWidth="1"/>
    <col min="32" max="32" width="10.83203125" style="1"/>
    <col min="39" max="39" width="6.83203125" customWidth="1"/>
    <col min="40" max="41" width="10.83203125" style="1"/>
    <col min="42" max="42" width="6.83203125" customWidth="1"/>
    <col min="43" max="44" width="10.83203125" style="1"/>
  </cols>
  <sheetData>
    <row r="1" spans="2:44" ht="8" customHeight="1" x14ac:dyDescent="0.2"/>
    <row r="2" spans="2:44" x14ac:dyDescent="0.2">
      <c r="B2" s="169" t="s">
        <v>7</v>
      </c>
      <c r="C2" s="172">
        <v>46101</v>
      </c>
      <c r="D2" s="173"/>
      <c r="E2" s="174"/>
      <c r="F2" s="172">
        <v>46104</v>
      </c>
      <c r="G2" s="173"/>
      <c r="H2" s="174"/>
      <c r="I2" s="172">
        <v>46105</v>
      </c>
      <c r="J2" s="173"/>
      <c r="K2" s="174"/>
      <c r="L2" s="163">
        <v>46106</v>
      </c>
      <c r="M2" s="164"/>
      <c r="N2" s="165"/>
      <c r="O2" s="163">
        <f>L2 + 1</f>
        <v>46107</v>
      </c>
      <c r="P2" s="164"/>
      <c r="Q2" s="165"/>
      <c r="R2" s="163">
        <f>O2 + 1</f>
        <v>46108</v>
      </c>
      <c r="S2" s="164"/>
      <c r="T2" s="165"/>
      <c r="U2" s="172">
        <v>46113</v>
      </c>
      <c r="V2" s="173"/>
      <c r="W2" s="174"/>
      <c r="X2" s="163">
        <v>46119</v>
      </c>
      <c r="Y2" s="164"/>
      <c r="Z2" s="165"/>
      <c r="AA2" s="163">
        <v>46120</v>
      </c>
      <c r="AB2" s="164"/>
      <c r="AC2" s="165"/>
      <c r="AD2" s="163">
        <v>46121</v>
      </c>
      <c r="AE2" s="164"/>
      <c r="AF2" s="165"/>
      <c r="AG2" s="163">
        <v>46121</v>
      </c>
      <c r="AH2" s="164"/>
      <c r="AI2" s="165"/>
      <c r="AJ2" s="163">
        <v>46121</v>
      </c>
      <c r="AK2" s="164"/>
      <c r="AL2" s="165"/>
      <c r="AM2" s="163">
        <v>46126</v>
      </c>
      <c r="AN2" s="164"/>
      <c r="AO2" s="165"/>
      <c r="AP2" s="163"/>
      <c r="AQ2" s="164"/>
      <c r="AR2" s="165"/>
    </row>
    <row r="3" spans="2:44" x14ac:dyDescent="0.2">
      <c r="B3" s="170"/>
      <c r="C3" s="64"/>
      <c r="D3" s="65">
        <v>0.44444444444444442</v>
      </c>
      <c r="E3" s="66">
        <v>0.69513888888888886</v>
      </c>
      <c r="F3" s="64"/>
      <c r="G3" s="65">
        <v>0.45069444444444445</v>
      </c>
      <c r="H3" s="66">
        <v>0.6875</v>
      </c>
      <c r="I3" s="64"/>
      <c r="J3" s="65">
        <v>0.46527777777777779</v>
      </c>
      <c r="K3" s="66">
        <v>0.66666666666666663</v>
      </c>
      <c r="L3" s="2"/>
      <c r="M3" s="14">
        <v>0.4375</v>
      </c>
      <c r="N3" s="10">
        <v>0.66666666666666663</v>
      </c>
      <c r="O3" s="2"/>
      <c r="P3" s="14">
        <v>0.4375</v>
      </c>
      <c r="Q3" s="10">
        <v>0.64583333333333337</v>
      </c>
      <c r="R3" s="2"/>
      <c r="S3" s="14">
        <v>0.44791666666666669</v>
      </c>
      <c r="T3" s="10">
        <v>0.64583333333333337</v>
      </c>
      <c r="U3" s="64"/>
      <c r="V3" s="65">
        <v>0.45833333333333331</v>
      </c>
      <c r="W3" s="66">
        <v>0.66666666666666663</v>
      </c>
      <c r="X3" s="2"/>
      <c r="Y3" s="14">
        <v>0.46180555555555558</v>
      </c>
      <c r="Z3" s="10">
        <v>0.62152777777777779</v>
      </c>
      <c r="AA3" s="2"/>
      <c r="AB3" s="14">
        <v>0.44444444444444442</v>
      </c>
      <c r="AC3" s="10">
        <v>0.5625</v>
      </c>
      <c r="AD3" s="2"/>
      <c r="AE3" s="14">
        <v>0.47222222222222221</v>
      </c>
      <c r="AF3" s="10">
        <v>0.47499999999999998</v>
      </c>
      <c r="AG3" s="2"/>
      <c r="AH3" s="14">
        <v>0.51111111111111107</v>
      </c>
      <c r="AI3" s="10">
        <v>0.51666666666666672</v>
      </c>
      <c r="AJ3" s="2"/>
      <c r="AK3" s="14">
        <v>0.52222222222222225</v>
      </c>
      <c r="AL3" s="10"/>
      <c r="AM3" s="2"/>
      <c r="AN3" s="14">
        <v>0.47916666666666669</v>
      </c>
      <c r="AO3" s="10">
        <v>0.48472222222222222</v>
      </c>
      <c r="AP3" s="2"/>
      <c r="AQ3" s="14"/>
      <c r="AR3" s="10"/>
    </row>
    <row r="4" spans="2:44" ht="12" customHeight="1" x14ac:dyDescent="0.2">
      <c r="B4" s="171"/>
      <c r="C4" s="64"/>
      <c r="D4" s="67"/>
      <c r="E4" s="58">
        <f>E5/D5-1</f>
        <v>0.1469519580137264</v>
      </c>
      <c r="F4" s="64"/>
      <c r="G4" s="67"/>
      <c r="H4" s="58">
        <f>H5/G5-1</f>
        <v>3.5553739272578655E-2</v>
      </c>
      <c r="I4" s="64"/>
      <c r="J4" s="67"/>
      <c r="K4" s="58">
        <f>IF( K5 = "", "-", IFERROR( K5/J5-1, "-" ) )</f>
        <v>-1.898027540007452E-2</v>
      </c>
      <c r="L4" s="2"/>
      <c r="M4" s="15"/>
      <c r="N4" s="58">
        <f>IF( N5 = "", "-", IFERROR( N5/M5-1, "-" ) )</f>
        <v>4.0290088638194943E-2</v>
      </c>
      <c r="O4" s="2"/>
      <c r="P4" s="15"/>
      <c r="Q4" s="58">
        <f>IF( Q5 = "", "-", IFERROR( Q5/P5-1, "-" ) )</f>
        <v>4.6614872364039828E-2</v>
      </c>
      <c r="R4" s="2"/>
      <c r="S4" s="15"/>
      <c r="T4" s="58">
        <f>IF( T5 = "", "-", IFERROR( T5/S5-1, "-" ) )</f>
        <v>4.9558723693143181E-2</v>
      </c>
      <c r="U4" s="64"/>
      <c r="V4" s="67"/>
      <c r="W4" s="58">
        <f>IF( W5 = "", "-", IFERROR( W5/V5-1, "-" ) )</f>
        <v>-3.7757009345794401E-2</v>
      </c>
      <c r="X4" s="2"/>
      <c r="Y4" s="15"/>
      <c r="Z4" s="58">
        <f>IF( Z5 = "", "-", IFERROR( Z5/Y5-1, "-" ) )</f>
        <v>-1.7355982274741444E-2</v>
      </c>
      <c r="AA4" s="2"/>
      <c r="AB4" s="15"/>
      <c r="AC4" s="58" t="str">
        <f>IF( AC5 = "", "-", IFERROR( AC5/AB5-1, "-" ) )</f>
        <v>-</v>
      </c>
      <c r="AD4" s="2"/>
      <c r="AE4" s="15"/>
      <c r="AF4" s="58" t="str">
        <f>IF( AF5 = "", "-", IFERROR( AF5/AE5-1, "-" ) )</f>
        <v>-</v>
      </c>
      <c r="AG4" s="2"/>
      <c r="AH4" s="15"/>
      <c r="AI4" s="58"/>
      <c r="AJ4" s="2"/>
      <c r="AK4" s="15"/>
      <c r="AL4" s="58" t="str">
        <f>IF( AL5 = "", "-", IFERROR( AL5/AK5-1, "-" ) )</f>
        <v>-</v>
      </c>
      <c r="AM4" s="2"/>
      <c r="AN4" s="15"/>
      <c r="AO4" s="58">
        <f>IF( AO5 = "", "-", IFERROR( AO5/AN5-1, "-" ) )</f>
        <v>-5.555555555556424E-4</v>
      </c>
      <c r="AP4" s="2"/>
      <c r="AQ4" s="15"/>
      <c r="AR4" s="58" t="str">
        <f>IF( AR5 = "", "-", IFERROR( AR5/AQ5-1, "-" ) )</f>
        <v>-</v>
      </c>
    </row>
    <row r="5" spans="2:44" x14ac:dyDescent="0.2">
      <c r="B5" s="54" t="s">
        <v>21</v>
      </c>
      <c r="C5" s="68" t="s">
        <v>18</v>
      </c>
      <c r="D5" s="69">
        <v>24.77</v>
      </c>
      <c r="E5" s="70">
        <v>28.41</v>
      </c>
      <c r="F5" s="68" t="s">
        <v>18</v>
      </c>
      <c r="G5" s="69">
        <v>24.47</v>
      </c>
      <c r="H5" s="70">
        <v>25.34</v>
      </c>
      <c r="I5" s="68" t="s">
        <v>18</v>
      </c>
      <c r="J5" s="69">
        <v>26.87</v>
      </c>
      <c r="K5" s="70">
        <v>26.36</v>
      </c>
      <c r="L5" s="55" t="s">
        <v>18</v>
      </c>
      <c r="M5" s="56">
        <v>24.82</v>
      </c>
      <c r="N5" s="57">
        <v>25.82</v>
      </c>
      <c r="O5" s="55" t="s">
        <v>18</v>
      </c>
      <c r="P5" s="56">
        <v>27.03</v>
      </c>
      <c r="Q5" s="57">
        <v>28.29</v>
      </c>
      <c r="R5" s="55" t="s">
        <v>18</v>
      </c>
      <c r="S5" s="56">
        <v>29.46</v>
      </c>
      <c r="T5" s="57">
        <v>30.92</v>
      </c>
      <c r="U5" s="68" t="s">
        <v>18</v>
      </c>
      <c r="V5" s="69">
        <v>26.75</v>
      </c>
      <c r="W5" s="70">
        <v>25.74</v>
      </c>
      <c r="X5" s="55" t="s">
        <v>18</v>
      </c>
      <c r="Y5" s="56">
        <v>27.08</v>
      </c>
      <c r="Z5" s="57">
        <v>26.61</v>
      </c>
      <c r="AA5" s="55" t="s">
        <v>18</v>
      </c>
      <c r="AB5" s="56">
        <v>20.6</v>
      </c>
      <c r="AC5" s="57"/>
      <c r="AD5" s="55" t="s">
        <v>18</v>
      </c>
      <c r="AE5" s="56">
        <v>21</v>
      </c>
      <c r="AF5" s="57"/>
      <c r="AG5" s="55" t="s">
        <v>18</v>
      </c>
      <c r="AH5" s="56"/>
      <c r="AI5" s="57"/>
      <c r="AJ5" s="55"/>
      <c r="AK5" s="56"/>
      <c r="AL5" s="57"/>
      <c r="AM5" s="55" t="s">
        <v>18</v>
      </c>
      <c r="AN5" s="22">
        <v>18</v>
      </c>
      <c r="AO5" s="23">
        <v>17.989999999999998</v>
      </c>
      <c r="AP5" s="55" t="s">
        <v>18</v>
      </c>
      <c r="AQ5" s="22"/>
      <c r="AR5" s="23"/>
    </row>
    <row r="6" spans="2:44" x14ac:dyDescent="0.2">
      <c r="B6" s="21" t="s">
        <v>0</v>
      </c>
      <c r="C6" s="71">
        <v>0.01</v>
      </c>
      <c r="D6" s="72">
        <v>6594.66</v>
      </c>
      <c r="E6" s="73">
        <v>6496</v>
      </c>
      <c r="F6" s="71">
        <v>1.4999999999999999E-2</v>
      </c>
      <c r="G6" s="72">
        <v>6600</v>
      </c>
      <c r="H6" s="73">
        <v>6616.45</v>
      </c>
      <c r="I6" s="71">
        <v>0.01</v>
      </c>
      <c r="J6" s="72">
        <v>6545</v>
      </c>
      <c r="K6" s="73">
        <v>6582</v>
      </c>
      <c r="L6" s="39">
        <v>0.01</v>
      </c>
      <c r="M6" s="22">
        <v>6633</v>
      </c>
      <c r="N6" s="23">
        <v>6585</v>
      </c>
      <c r="O6" s="39"/>
      <c r="P6" s="22">
        <v>6591.9</v>
      </c>
      <c r="Q6" s="23">
        <v>6494</v>
      </c>
      <c r="R6" s="39"/>
      <c r="S6" s="22">
        <v>6442</v>
      </c>
      <c r="T6" s="23">
        <v>6383</v>
      </c>
      <c r="U6" s="71">
        <v>0.01</v>
      </c>
      <c r="V6" s="72">
        <v>6500</v>
      </c>
      <c r="W6" s="73">
        <v>6553</v>
      </c>
      <c r="X6" s="39"/>
      <c r="Y6" s="22">
        <v>6547</v>
      </c>
      <c r="Z6" s="23">
        <v>6590</v>
      </c>
      <c r="AA6" s="39"/>
      <c r="AB6" s="22">
        <v>6786</v>
      </c>
      <c r="AC6" s="23">
        <v>6774.41</v>
      </c>
      <c r="AD6" s="39"/>
      <c r="AE6" s="22">
        <v>6767</v>
      </c>
      <c r="AF6" s="23">
        <v>6769.45</v>
      </c>
      <c r="AG6" s="39"/>
      <c r="AH6" s="22"/>
      <c r="AI6" s="23"/>
      <c r="AJ6" s="39"/>
      <c r="AK6" s="22"/>
      <c r="AL6" s="23"/>
      <c r="AM6" s="39"/>
      <c r="AN6" s="56">
        <v>6933.91</v>
      </c>
      <c r="AO6" s="57">
        <v>6933.86</v>
      </c>
      <c r="AP6" s="39"/>
      <c r="AQ6" s="56"/>
      <c r="AR6" s="57"/>
    </row>
    <row r="7" spans="2:44" ht="12" customHeight="1" x14ac:dyDescent="0.2">
      <c r="B7" s="17"/>
      <c r="C7" s="64"/>
      <c r="D7" s="67"/>
      <c r="E7" s="58">
        <f>E6/D6-1</f>
        <v>-1.4960589325302531E-2</v>
      </c>
      <c r="F7" s="64"/>
      <c r="G7" s="67"/>
      <c r="H7" s="58">
        <f>H6/G6-1</f>
        <v>2.4924242424242404E-3</v>
      </c>
      <c r="I7" s="64"/>
      <c r="J7" s="67"/>
      <c r="K7" s="58">
        <f>IF( K6 = "", "-", IFERROR( K6/J6-1, "-" ) )</f>
        <v>5.6531703590527727E-3</v>
      </c>
      <c r="L7" s="2"/>
      <c r="M7" s="15"/>
      <c r="N7" s="58">
        <f>IF( N6 = "", "-", IFERROR( N6/M6-1, "-" ) )</f>
        <v>-7.2365445499773529E-3</v>
      </c>
      <c r="O7" s="2"/>
      <c r="P7" s="15"/>
      <c r="Q7" s="58">
        <f>IF( Q6 = "", "-", IFERROR( Q6/P6-1, "-" ) )</f>
        <v>-1.4851560248183349E-2</v>
      </c>
      <c r="R7" s="2"/>
      <c r="S7" s="15"/>
      <c r="T7" s="58">
        <f>IF( T6 = "", "-", IFERROR( T6/S6-1, "-" ) )</f>
        <v>-9.1586463831108134E-3</v>
      </c>
      <c r="U7" s="64"/>
      <c r="V7" s="67"/>
      <c r="W7" s="58">
        <f>IF( W6 = "", "-", IFERROR( W6/V6-1, "-" ) )</f>
        <v>8.1538461538461782E-3</v>
      </c>
      <c r="X7" s="162">
        <f>X9-Y6</f>
        <v>73</v>
      </c>
      <c r="Y7" s="15"/>
      <c r="Z7" s="58">
        <f>IF( Z6 = "", "-", IFERROR( Z6/Y6-1, "-" ) )</f>
        <v>6.5678936917672459E-3</v>
      </c>
      <c r="AA7" s="2"/>
      <c r="AB7" s="15"/>
      <c r="AC7" s="58">
        <f>IF( AC6 = "", "-", IFERROR( AC6/AB6-1, "-" ) )</f>
        <v>-1.7079280872384084E-3</v>
      </c>
      <c r="AD7" s="2"/>
      <c r="AE7" s="15"/>
      <c r="AF7" s="58">
        <f>IF( AF6 = "", "-", IFERROR( AF6/AE6-1, "-" ) )</f>
        <v>3.6205113048626281E-4</v>
      </c>
      <c r="AG7" s="2"/>
      <c r="AH7" s="15"/>
      <c r="AI7" s="58" t="str">
        <f>IF( AI6 = "", "-", IFERROR( AI6/AH6-1, "-" ) )</f>
        <v>-</v>
      </c>
      <c r="AJ7" s="2"/>
      <c r="AK7" s="15"/>
      <c r="AL7" s="58" t="str">
        <f>IF( AL6 = "", "-", IFERROR( AL6/AK6-1, "-" ) )</f>
        <v>-</v>
      </c>
      <c r="AM7" s="2"/>
      <c r="AN7" s="15"/>
      <c r="AO7" s="58">
        <f>IF( AO6 = "", "-", IFERROR( AO6/AN6-1, "-" ) )</f>
        <v>-7.210938705592973E-6</v>
      </c>
      <c r="AP7" s="2"/>
      <c r="AQ7" s="15"/>
      <c r="AR7" s="58" t="str">
        <f>IF( AR6 = "", "-", IFERROR( AR6/AQ6-1, "-" ) )</f>
        <v>-</v>
      </c>
    </row>
    <row r="8" spans="2:44" x14ac:dyDescent="0.2">
      <c r="B8" s="18" t="s">
        <v>1</v>
      </c>
      <c r="C8" s="74" t="s">
        <v>12</v>
      </c>
      <c r="D8" s="75" t="s">
        <v>6</v>
      </c>
      <c r="E8" s="76" t="s">
        <v>6</v>
      </c>
      <c r="F8" s="74" t="s">
        <v>12</v>
      </c>
      <c r="G8" s="75" t="s">
        <v>6</v>
      </c>
      <c r="H8" s="76" t="s">
        <v>6</v>
      </c>
      <c r="I8" s="74" t="s">
        <v>12</v>
      </c>
      <c r="J8" s="75" t="s">
        <v>6</v>
      </c>
      <c r="K8" s="76" t="s">
        <v>6</v>
      </c>
      <c r="L8" s="4" t="s">
        <v>12</v>
      </c>
      <c r="M8" s="12" t="s">
        <v>6</v>
      </c>
      <c r="N8" s="5" t="s">
        <v>6</v>
      </c>
      <c r="O8" s="63">
        <f>O9/P6 - 1</f>
        <v>2.7457940806141501E-3</v>
      </c>
      <c r="P8" s="12" t="s">
        <v>6</v>
      </c>
      <c r="Q8" s="5" t="s">
        <v>6</v>
      </c>
      <c r="R8" s="63">
        <f>R9/S6 - 1</f>
        <v>1.133188450791689E-2</v>
      </c>
      <c r="S8" s="12" t="s">
        <v>6</v>
      </c>
      <c r="T8" s="5" t="s">
        <v>6</v>
      </c>
      <c r="U8" s="74" t="s">
        <v>12</v>
      </c>
      <c r="V8" s="75" t="s">
        <v>6</v>
      </c>
      <c r="W8" s="76" t="s">
        <v>6</v>
      </c>
      <c r="X8" s="63">
        <f>X9/Y6 - 1</f>
        <v>1.1150145104628084E-2</v>
      </c>
      <c r="Y8" s="12" t="s">
        <v>6</v>
      </c>
      <c r="Z8" s="5" t="s">
        <v>6</v>
      </c>
      <c r="AA8" s="63">
        <f>IFERROR( AA9/AB6 - 1, "-" )</f>
        <v>-1</v>
      </c>
      <c r="AB8" s="12" t="s">
        <v>6</v>
      </c>
      <c r="AC8" s="5" t="s">
        <v>6</v>
      </c>
      <c r="AD8" s="63">
        <f>IFERROR( AD9/AE6 - 1, "-" )</f>
        <v>5.6154869218265624E-3</v>
      </c>
      <c r="AE8" s="12" t="s">
        <v>54</v>
      </c>
      <c r="AF8" s="5" t="s">
        <v>55</v>
      </c>
      <c r="AG8" s="63" t="str">
        <f>IFERROR( AG9/AH6 - 1, "-" )</f>
        <v>-</v>
      </c>
      <c r="AH8" s="12" t="s">
        <v>54</v>
      </c>
      <c r="AI8" s="5" t="s">
        <v>55</v>
      </c>
      <c r="AJ8" s="63"/>
      <c r="AK8" s="12" t="s">
        <v>54</v>
      </c>
      <c r="AL8" s="5" t="s">
        <v>55</v>
      </c>
      <c r="AM8" s="63">
        <f>IFERROR( AM9/AN6 - 1, "-" )</f>
        <v>2.3204800754552668E-3</v>
      </c>
      <c r="AN8" s="12" t="s">
        <v>6</v>
      </c>
      <c r="AO8" s="5" t="s">
        <v>6</v>
      </c>
      <c r="AP8" s="63" t="str">
        <f>IFERROR( AP9/AQ6 - 1, "-" )</f>
        <v>-</v>
      </c>
      <c r="AQ8" s="12" t="s">
        <v>6</v>
      </c>
      <c r="AR8" s="5" t="s">
        <v>6</v>
      </c>
    </row>
    <row r="9" spans="2:44" x14ac:dyDescent="0.2">
      <c r="B9" s="44" t="s">
        <v>9</v>
      </c>
      <c r="C9" s="77">
        <f>FLOOR( ROUND( D6 * ( 1 + C6 ), 0 ), 5 )</f>
        <v>6660</v>
      </c>
      <c r="D9" s="78">
        <v>2.6</v>
      </c>
      <c r="E9" s="79">
        <v>0</v>
      </c>
      <c r="F9" s="77">
        <f>FLOOR( ROUND( G6 * ( 1 + F6 ), 0 ), 5 )</f>
        <v>6695</v>
      </c>
      <c r="G9" s="78">
        <v>2.5499999999999998</v>
      </c>
      <c r="H9" s="79">
        <v>0.1</v>
      </c>
      <c r="I9" s="77">
        <f>FLOOR( ROUND( J6 * ( 1 + I6 ), 0 ), 5 )</f>
        <v>6610</v>
      </c>
      <c r="J9" s="78">
        <v>1.7</v>
      </c>
      <c r="K9" s="79">
        <v>0.8</v>
      </c>
      <c r="L9" s="45">
        <v>6685</v>
      </c>
      <c r="M9" s="46">
        <v>1.83</v>
      </c>
      <c r="N9" s="47">
        <v>0.04</v>
      </c>
      <c r="O9" s="45">
        <v>6610</v>
      </c>
      <c r="P9" s="46">
        <v>2.6</v>
      </c>
      <c r="Q9" s="47">
        <v>0.01</v>
      </c>
      <c r="R9" s="45">
        <v>6515</v>
      </c>
      <c r="S9" s="46">
        <v>2.87</v>
      </c>
      <c r="T9" s="47">
        <v>0.38</v>
      </c>
      <c r="U9" s="77">
        <v>6590</v>
      </c>
      <c r="V9" s="78">
        <v>1.9</v>
      </c>
      <c r="W9" s="79">
        <v>1.3</v>
      </c>
      <c r="X9" s="45">
        <v>6620</v>
      </c>
      <c r="Y9" s="46">
        <v>3.93</v>
      </c>
      <c r="Z9" s="47">
        <v>2.25</v>
      </c>
      <c r="AA9" s="45"/>
      <c r="AB9" s="46"/>
      <c r="AC9" s="47"/>
      <c r="AD9" s="45">
        <v>6805</v>
      </c>
      <c r="AE9" s="46">
        <v>1.87</v>
      </c>
      <c r="AF9" s="47">
        <v>3.12</v>
      </c>
      <c r="AG9" s="45">
        <v>6825</v>
      </c>
      <c r="AH9" s="46">
        <v>1.57</v>
      </c>
      <c r="AI9" s="47">
        <v>3.67</v>
      </c>
      <c r="AJ9" s="45">
        <v>6840</v>
      </c>
      <c r="AK9" s="46">
        <f>( 2.55 + 2.27 ) / 2</f>
        <v>2.41</v>
      </c>
      <c r="AL9" s="47">
        <v>3.72</v>
      </c>
      <c r="AM9" s="45">
        <v>6950</v>
      </c>
      <c r="AN9" s="46">
        <v>3.95</v>
      </c>
      <c r="AO9" s="47">
        <f>( 3.7 + 3.67 )  / 2</f>
        <v>3.6850000000000001</v>
      </c>
      <c r="AP9" s="45">
        <v>6965</v>
      </c>
      <c r="AQ9" s="46">
        <v>-4.92</v>
      </c>
      <c r="AR9" s="47">
        <v>5</v>
      </c>
    </row>
    <row r="10" spans="2:44" x14ac:dyDescent="0.2">
      <c r="B10" s="19" t="s">
        <v>8</v>
      </c>
      <c r="C10" s="80">
        <f>C9 + C19</f>
        <v>6700</v>
      </c>
      <c r="D10" s="81">
        <v>0.8</v>
      </c>
      <c r="E10" s="82">
        <v>0</v>
      </c>
      <c r="F10" s="80">
        <f>F9 + F19</f>
        <v>6735</v>
      </c>
      <c r="G10" s="81">
        <v>0.9</v>
      </c>
      <c r="H10" s="82">
        <v>0</v>
      </c>
      <c r="I10" s="80">
        <f>I9 + I19</f>
        <v>6650</v>
      </c>
      <c r="J10" s="81">
        <v>0.5</v>
      </c>
      <c r="K10" s="82">
        <v>0.25</v>
      </c>
      <c r="L10" s="6">
        <v>6725</v>
      </c>
      <c r="M10" s="11">
        <v>0.52</v>
      </c>
      <c r="N10" s="3">
        <v>0.03</v>
      </c>
      <c r="O10" s="6">
        <f>O9 + O11</f>
        <v>6650</v>
      </c>
      <c r="P10" s="11">
        <v>0.75</v>
      </c>
      <c r="Q10" s="3">
        <v>0.01</v>
      </c>
      <c r="R10" s="6">
        <f>R9 + R11</f>
        <v>6555</v>
      </c>
      <c r="S10" s="11">
        <v>1.32</v>
      </c>
      <c r="T10" s="3">
        <v>0.22</v>
      </c>
      <c r="U10" s="80">
        <f>U9 + U19</f>
        <v>6630</v>
      </c>
      <c r="V10" s="81">
        <v>0.65</v>
      </c>
      <c r="W10" s="82">
        <v>0.2</v>
      </c>
      <c r="X10" s="6">
        <f>X9 + X11</f>
        <v>6660</v>
      </c>
      <c r="Y10" s="11">
        <v>1.33</v>
      </c>
      <c r="Z10" s="3">
        <v>0.6</v>
      </c>
      <c r="AA10" s="6">
        <f>AA9 + AA11</f>
        <v>40</v>
      </c>
      <c r="AB10" s="11"/>
      <c r="AC10" s="3"/>
      <c r="AD10" s="6">
        <v>6860</v>
      </c>
      <c r="AE10" s="11">
        <v>0.42</v>
      </c>
      <c r="AF10" s="3">
        <v>0.47</v>
      </c>
      <c r="AG10" s="6">
        <v>6875</v>
      </c>
      <c r="AH10" s="11">
        <v>0.37</v>
      </c>
      <c r="AI10" s="3">
        <v>0.82</v>
      </c>
      <c r="AJ10" s="6">
        <v>6880</v>
      </c>
      <c r="AK10" s="11">
        <f>( 0.7 + 0.62 ) / 2</f>
        <v>0.65999999999999992</v>
      </c>
      <c r="AL10" s="3">
        <v>1.07</v>
      </c>
      <c r="AM10" s="6">
        <v>6965</v>
      </c>
      <c r="AN10" s="11">
        <v>1.7</v>
      </c>
      <c r="AO10" s="3">
        <f>( 1.6 + 1.57 ) / 2</f>
        <v>1.585</v>
      </c>
      <c r="AP10" s="6">
        <v>6980</v>
      </c>
      <c r="AQ10" s="11">
        <v>1.62</v>
      </c>
      <c r="AR10" s="3">
        <v>-1.1000000000000001</v>
      </c>
    </row>
    <row r="11" spans="2:44" x14ac:dyDescent="0.2">
      <c r="B11" s="19" t="s">
        <v>3</v>
      </c>
      <c r="C11" s="80" t="s">
        <v>18</v>
      </c>
      <c r="D11" s="75">
        <f>D9-D10</f>
        <v>1.8</v>
      </c>
      <c r="E11" s="76">
        <f>E9-E10</f>
        <v>0</v>
      </c>
      <c r="F11" s="80" t="s">
        <v>18</v>
      </c>
      <c r="G11" s="75">
        <f>G9-G10</f>
        <v>1.65</v>
      </c>
      <c r="H11" s="76">
        <f>H9-H10</f>
        <v>0.1</v>
      </c>
      <c r="I11" s="80">
        <f>I10-I9</f>
        <v>40</v>
      </c>
      <c r="J11" s="75">
        <f>J9-J10</f>
        <v>1.2</v>
      </c>
      <c r="K11" s="76">
        <f>K9-K10</f>
        <v>0.55000000000000004</v>
      </c>
      <c r="L11" s="6">
        <f>L10-L9</f>
        <v>40</v>
      </c>
      <c r="M11" s="12">
        <f>M9-M10</f>
        <v>1.31</v>
      </c>
      <c r="N11" s="5">
        <f>N9-N10</f>
        <v>1.0000000000000002E-2</v>
      </c>
      <c r="O11" s="6">
        <v>40</v>
      </c>
      <c r="P11" s="12">
        <f>P9-P10</f>
        <v>1.85</v>
      </c>
      <c r="Q11" s="5">
        <f>Q9-Q10</f>
        <v>0</v>
      </c>
      <c r="R11" s="6">
        <v>40</v>
      </c>
      <c r="S11" s="12">
        <f>S9-S10</f>
        <v>1.55</v>
      </c>
      <c r="T11" s="5">
        <f>T9-T10</f>
        <v>0.16</v>
      </c>
      <c r="U11" s="80">
        <f>U10-U9</f>
        <v>40</v>
      </c>
      <c r="V11" s="75">
        <f>V9-V10</f>
        <v>1.25</v>
      </c>
      <c r="W11" s="76">
        <f>W9-W10</f>
        <v>1.1000000000000001</v>
      </c>
      <c r="X11" s="6">
        <v>40</v>
      </c>
      <c r="Y11" s="12">
        <f>Y9-Y10</f>
        <v>2.6</v>
      </c>
      <c r="Z11" s="5">
        <f>Z9-Z10</f>
        <v>1.65</v>
      </c>
      <c r="AA11" s="6">
        <v>40</v>
      </c>
      <c r="AB11" s="12">
        <f>AB9-AB10</f>
        <v>0</v>
      </c>
      <c r="AC11" s="5">
        <f>AC9-AC10</f>
        <v>0</v>
      </c>
      <c r="AD11" s="6">
        <f>AD10-AD9</f>
        <v>55</v>
      </c>
      <c r="AE11" s="12">
        <f>AE9-AE10</f>
        <v>1.4500000000000002</v>
      </c>
      <c r="AF11" s="5">
        <f>AF9-AF10</f>
        <v>2.6500000000000004</v>
      </c>
      <c r="AG11" s="6">
        <f>AG10-AG9</f>
        <v>50</v>
      </c>
      <c r="AH11" s="12">
        <f>AH9-AH10</f>
        <v>1.2000000000000002</v>
      </c>
      <c r="AI11" s="5">
        <f>AI9-AI10</f>
        <v>2.85</v>
      </c>
      <c r="AJ11" s="6">
        <f>AJ10-AJ9</f>
        <v>40</v>
      </c>
      <c r="AK11" s="12">
        <f>AK9-AK10</f>
        <v>1.7500000000000002</v>
      </c>
      <c r="AL11" s="5">
        <f>AL9-AL10</f>
        <v>2.6500000000000004</v>
      </c>
      <c r="AM11" s="6">
        <f>IF( OR( AM9 = "", AM10 = ""), "-", ABS(AM10-AM9) )</f>
        <v>15</v>
      </c>
      <c r="AN11" s="12">
        <f>AN9-AN10</f>
        <v>2.25</v>
      </c>
      <c r="AO11" s="5">
        <f>AO9-AO10</f>
        <v>2.1</v>
      </c>
      <c r="AP11" s="6">
        <f>IF( OR( AP9 = "", AP10 = ""), "-", ABS(AP10-AP9) )</f>
        <v>15</v>
      </c>
      <c r="AQ11" s="12">
        <f>AQ9+AQ10</f>
        <v>-3.3</v>
      </c>
      <c r="AR11" s="5">
        <f>AR9+AR10</f>
        <v>3.9</v>
      </c>
    </row>
    <row r="12" spans="2:44" x14ac:dyDescent="0.2">
      <c r="B12" s="20"/>
      <c r="C12" s="83"/>
      <c r="D12" s="81"/>
      <c r="E12" s="82"/>
      <c r="F12" s="83"/>
      <c r="G12" s="81"/>
      <c r="H12" s="82"/>
      <c r="I12" s="83"/>
      <c r="J12" s="81"/>
      <c r="K12" s="82"/>
      <c r="L12" s="7"/>
      <c r="M12" s="11"/>
      <c r="N12" s="3"/>
      <c r="O12" s="7"/>
      <c r="P12" s="11"/>
      <c r="Q12" s="3"/>
      <c r="R12" s="7"/>
      <c r="S12" s="11"/>
      <c r="T12" s="3"/>
      <c r="U12" s="83"/>
      <c r="V12" s="81"/>
      <c r="W12" s="82"/>
      <c r="X12" s="162">
        <f>Y6-X14</f>
        <v>47</v>
      </c>
      <c r="Y12" s="11"/>
      <c r="Z12" s="3"/>
      <c r="AA12" s="7"/>
      <c r="AB12" s="11"/>
      <c r="AC12" s="3"/>
      <c r="AD12" s="7"/>
      <c r="AE12" s="11"/>
      <c r="AF12" s="3"/>
      <c r="AG12" s="7"/>
      <c r="AH12" s="11"/>
      <c r="AI12" s="3"/>
      <c r="AL12" s="3"/>
      <c r="AM12" s="7"/>
      <c r="AN12" s="11"/>
      <c r="AO12" s="3"/>
      <c r="AP12" s="7"/>
      <c r="AQ12" s="11"/>
      <c r="AR12" s="3"/>
    </row>
    <row r="13" spans="2:44" x14ac:dyDescent="0.2">
      <c r="B13" s="18" t="s">
        <v>2</v>
      </c>
      <c r="C13" s="74" t="s">
        <v>12</v>
      </c>
      <c r="D13" s="75" t="s">
        <v>6</v>
      </c>
      <c r="E13" s="76" t="s">
        <v>6</v>
      </c>
      <c r="F13" s="74" t="s">
        <v>12</v>
      </c>
      <c r="G13" s="75" t="s">
        <v>6</v>
      </c>
      <c r="H13" s="76" t="s">
        <v>6</v>
      </c>
      <c r="I13" s="74" t="s">
        <v>12</v>
      </c>
      <c r="J13" s="75" t="s">
        <v>6</v>
      </c>
      <c r="K13" s="76" t="s">
        <v>6</v>
      </c>
      <c r="L13" s="4" t="s">
        <v>12</v>
      </c>
      <c r="M13" s="12" t="s">
        <v>6</v>
      </c>
      <c r="N13" s="5" t="s">
        <v>6</v>
      </c>
      <c r="O13" s="63">
        <f>O14/P6 - 1</f>
        <v>-1.394135226565929E-2</v>
      </c>
      <c r="P13" s="12" t="s">
        <v>6</v>
      </c>
      <c r="Q13" s="5" t="s">
        <v>6</v>
      </c>
      <c r="R13" s="63">
        <f>R14/S6 - 1</f>
        <v>-1.4281279105867739E-2</v>
      </c>
      <c r="S13" s="12" t="s">
        <v>6</v>
      </c>
      <c r="T13" s="5" t="s">
        <v>6</v>
      </c>
      <c r="U13" s="74" t="s">
        <v>12</v>
      </c>
      <c r="V13" s="75" t="s">
        <v>6</v>
      </c>
      <c r="W13" s="76" t="s">
        <v>6</v>
      </c>
      <c r="X13" s="63">
        <f>X14/Y6 - 1</f>
        <v>-7.1788605468153799E-3</v>
      </c>
      <c r="Y13" s="12" t="s">
        <v>6</v>
      </c>
      <c r="Z13" s="5" t="s">
        <v>6</v>
      </c>
      <c r="AA13" s="63">
        <f>IFERROR( AA14/AB6 - 1, "-" )</f>
        <v>-9.7259062776303695E-3</v>
      </c>
      <c r="AB13" s="12" t="s">
        <v>6</v>
      </c>
      <c r="AC13" s="5" t="s">
        <v>6</v>
      </c>
      <c r="AD13" s="63">
        <f>IFERROR( AD14/AE6 - 1, "-" )</f>
        <v>-6.9454706664696664E-3</v>
      </c>
      <c r="AE13" s="12" t="s">
        <v>6</v>
      </c>
      <c r="AF13" s="5" t="s">
        <v>6</v>
      </c>
      <c r="AG13" s="63" t="str">
        <f>IFERROR( AG14/AH6 - 1, "-" )</f>
        <v>-</v>
      </c>
      <c r="AH13" s="12" t="s">
        <v>6</v>
      </c>
      <c r="AI13" s="5" t="s">
        <v>6</v>
      </c>
      <c r="AJ13" s="63"/>
      <c r="AK13" s="12" t="s">
        <v>54</v>
      </c>
      <c r="AL13" s="5" t="s">
        <v>55</v>
      </c>
      <c r="AM13" s="63">
        <f>IFERROR( AM14/AN6 - 1, "-" )</f>
        <v>-1</v>
      </c>
      <c r="AN13" s="12" t="s">
        <v>6</v>
      </c>
      <c r="AO13" s="5" t="s">
        <v>6</v>
      </c>
      <c r="AP13" s="63" t="str">
        <f>IFERROR( AP14/AQ6 - 1, "-" )</f>
        <v>-</v>
      </c>
      <c r="AQ13" s="12" t="s">
        <v>6</v>
      </c>
      <c r="AR13" s="5" t="s">
        <v>6</v>
      </c>
    </row>
    <row r="14" spans="2:44" x14ac:dyDescent="0.2">
      <c r="B14" s="44" t="s">
        <v>10</v>
      </c>
      <c r="C14" s="77">
        <f>FLOOR( ROUND( D6 * ( 1 - C6 ), 0 ), 5 )</f>
        <v>6525</v>
      </c>
      <c r="D14" s="78">
        <v>2.95</v>
      </c>
      <c r="E14" s="79">
        <v>8.3000000000000007</v>
      </c>
      <c r="F14" s="77">
        <f>FLOOR( ROUND( G6 * ( 1 - F6 ), 0 ), 5 )</f>
        <v>6500</v>
      </c>
      <c r="G14" s="78">
        <v>4.4000000000000004</v>
      </c>
      <c r="H14" s="79">
        <v>0.1</v>
      </c>
      <c r="I14" s="77">
        <f>FLOOR( ROUND( J6 * ( 1 - I6 ), 0 ), 5 )</f>
        <v>6480</v>
      </c>
      <c r="J14" s="78">
        <v>5.9</v>
      </c>
      <c r="K14" s="79">
        <v>0.1</v>
      </c>
      <c r="L14" s="45">
        <v>6565</v>
      </c>
      <c r="M14" s="46">
        <v>7.1</v>
      </c>
      <c r="N14" s="47">
        <v>0.61</v>
      </c>
      <c r="O14" s="45">
        <v>6500</v>
      </c>
      <c r="P14" s="46">
        <v>3.25</v>
      </c>
      <c r="Q14" s="47">
        <v>13.97</v>
      </c>
      <c r="R14" s="45">
        <v>6350</v>
      </c>
      <c r="S14" s="46">
        <v>3.27</v>
      </c>
      <c r="T14" s="47">
        <v>4.0599999999999996</v>
      </c>
      <c r="U14" s="77">
        <v>6380</v>
      </c>
      <c r="V14" s="78">
        <v>1.2</v>
      </c>
      <c r="W14" s="79">
        <v>0.15</v>
      </c>
      <c r="X14" s="45">
        <v>6500</v>
      </c>
      <c r="Y14" s="46">
        <v>4.07</v>
      </c>
      <c r="Z14" s="47">
        <v>0.22</v>
      </c>
      <c r="AA14" s="45">
        <v>6720</v>
      </c>
      <c r="AB14" s="46">
        <v>5.93</v>
      </c>
      <c r="AC14" s="47">
        <v>4.62</v>
      </c>
      <c r="AD14" s="45">
        <v>6720</v>
      </c>
      <c r="AE14" s="46">
        <v>2.27</v>
      </c>
      <c r="AF14" s="47">
        <v>0.47</v>
      </c>
      <c r="AG14" s="45"/>
      <c r="AH14" s="46"/>
      <c r="AI14" s="47"/>
      <c r="AJ14" s="45">
        <v>6790</v>
      </c>
      <c r="AK14" s="46">
        <v>3.12</v>
      </c>
      <c r="AL14" s="47">
        <v>1.07</v>
      </c>
      <c r="AM14" s="45"/>
      <c r="AN14" s="46"/>
      <c r="AO14" s="47"/>
      <c r="AP14" s="45"/>
      <c r="AQ14" s="46"/>
      <c r="AR14" s="47"/>
    </row>
    <row r="15" spans="2:44" x14ac:dyDescent="0.2">
      <c r="B15" s="19" t="s">
        <v>11</v>
      </c>
      <c r="C15" s="80">
        <f>C14-C19</f>
        <v>6485</v>
      </c>
      <c r="D15" s="81">
        <v>0.9</v>
      </c>
      <c r="E15" s="82">
        <v>0.55000000000000004</v>
      </c>
      <c r="F15" s="80">
        <f>F14-F19</f>
        <v>6460</v>
      </c>
      <c r="G15" s="81">
        <v>2.0499999999999998</v>
      </c>
      <c r="H15" s="82">
        <v>0</v>
      </c>
      <c r="I15" s="80">
        <f>I14-I19</f>
        <v>6440</v>
      </c>
      <c r="J15" s="81">
        <v>2.2000000000000002</v>
      </c>
      <c r="K15" s="82">
        <v>0.1</v>
      </c>
      <c r="L15" s="6">
        <v>6525</v>
      </c>
      <c r="M15" s="11">
        <v>2.66</v>
      </c>
      <c r="N15" s="3">
        <v>7.0000000000000007E-2</v>
      </c>
      <c r="O15" s="6">
        <f>O14 - O16</f>
        <v>6455</v>
      </c>
      <c r="P15" s="11">
        <v>0.6</v>
      </c>
      <c r="Q15" s="3">
        <v>1.92</v>
      </c>
      <c r="R15" s="6">
        <f>R14 - R16</f>
        <v>6310</v>
      </c>
      <c r="S15" s="11">
        <v>1.22</v>
      </c>
      <c r="T15" s="3">
        <v>0.82</v>
      </c>
      <c r="U15" s="80">
        <f>U14-U19</f>
        <v>6340</v>
      </c>
      <c r="V15" s="81">
        <v>0.6</v>
      </c>
      <c r="W15" s="82">
        <v>0.05</v>
      </c>
      <c r="X15" s="6">
        <f>X14 - X16</f>
        <v>6460</v>
      </c>
      <c r="Y15" s="11">
        <v>1.37</v>
      </c>
      <c r="Z15" s="3">
        <v>0.12</v>
      </c>
      <c r="AA15" s="6">
        <f>AA14 - AA16</f>
        <v>6680</v>
      </c>
      <c r="AB15" s="11">
        <v>3.03</v>
      </c>
      <c r="AC15" s="3">
        <v>1.72</v>
      </c>
      <c r="AD15" s="6">
        <v>6680</v>
      </c>
      <c r="AE15" s="11">
        <v>0.87</v>
      </c>
      <c r="AF15" s="3">
        <v>0.27</v>
      </c>
      <c r="AG15" s="6"/>
      <c r="AH15" s="11"/>
      <c r="AI15" s="3"/>
      <c r="AJ15" s="6">
        <v>6750</v>
      </c>
      <c r="AK15" s="11">
        <v>0.82</v>
      </c>
      <c r="AL15" s="3">
        <v>0.47</v>
      </c>
      <c r="AM15" s="6"/>
      <c r="AN15" s="11"/>
      <c r="AO15" s="3"/>
      <c r="AP15" s="6"/>
      <c r="AQ15" s="11"/>
      <c r="AR15" s="3"/>
    </row>
    <row r="16" spans="2:44" x14ac:dyDescent="0.2">
      <c r="B16" s="19" t="s">
        <v>3</v>
      </c>
      <c r="C16" s="80" t="s">
        <v>18</v>
      </c>
      <c r="D16" s="75">
        <f>D14-D15</f>
        <v>2.0500000000000003</v>
      </c>
      <c r="E16" s="76">
        <f>E14-E15</f>
        <v>7.7500000000000009</v>
      </c>
      <c r="F16" s="80" t="s">
        <v>18</v>
      </c>
      <c r="G16" s="75">
        <f t="shared" ref="G16:N16" si="0">G14-G15</f>
        <v>2.3500000000000005</v>
      </c>
      <c r="H16" s="76">
        <f t="shared" si="0"/>
        <v>0.1</v>
      </c>
      <c r="I16" s="80">
        <f t="shared" si="0"/>
        <v>40</v>
      </c>
      <c r="J16" s="75">
        <f t="shared" si="0"/>
        <v>3.7</v>
      </c>
      <c r="K16" s="76">
        <f t="shared" si="0"/>
        <v>0</v>
      </c>
      <c r="L16" s="6">
        <f>L14-L15</f>
        <v>40</v>
      </c>
      <c r="M16" s="12">
        <f t="shared" si="0"/>
        <v>4.4399999999999995</v>
      </c>
      <c r="N16" s="5">
        <f t="shared" si="0"/>
        <v>0.54</v>
      </c>
      <c r="O16" s="6">
        <v>45</v>
      </c>
      <c r="P16" s="12">
        <f t="shared" ref="P16:Q16" si="1">P14-P15</f>
        <v>2.65</v>
      </c>
      <c r="Q16" s="5">
        <f t="shared" si="1"/>
        <v>12.05</v>
      </c>
      <c r="R16" s="6">
        <v>40</v>
      </c>
      <c r="S16" s="12">
        <f t="shared" ref="S16:W16" si="2">S14-S15</f>
        <v>2.0499999999999998</v>
      </c>
      <c r="T16" s="5">
        <f t="shared" si="2"/>
        <v>3.2399999999999998</v>
      </c>
      <c r="U16" s="80">
        <f t="shared" si="2"/>
        <v>40</v>
      </c>
      <c r="V16" s="75">
        <f t="shared" si="2"/>
        <v>0.6</v>
      </c>
      <c r="W16" s="76">
        <f t="shared" si="2"/>
        <v>9.9999999999999992E-2</v>
      </c>
      <c r="X16" s="6">
        <v>40</v>
      </c>
      <c r="Y16" s="12">
        <f t="shared" ref="Y16:Z16" si="3">Y14-Y15</f>
        <v>2.7</v>
      </c>
      <c r="Z16" s="5">
        <f t="shared" si="3"/>
        <v>0.1</v>
      </c>
      <c r="AA16" s="6">
        <v>40</v>
      </c>
      <c r="AB16" s="12">
        <f t="shared" ref="AB16:AC16" si="4">AB14-AB15</f>
        <v>2.9</v>
      </c>
      <c r="AC16" s="12">
        <f t="shared" si="4"/>
        <v>2.9000000000000004</v>
      </c>
      <c r="AD16" s="6">
        <f>AD15 - AD14</f>
        <v>-40</v>
      </c>
      <c r="AE16" s="12">
        <f t="shared" ref="AE16:AF16" si="5">AE14-AE15</f>
        <v>1.4</v>
      </c>
      <c r="AF16" s="12">
        <f t="shared" si="5"/>
        <v>0.19999999999999996</v>
      </c>
      <c r="AG16" s="6">
        <f>AG15 - AG14</f>
        <v>0</v>
      </c>
      <c r="AH16" s="12">
        <f t="shared" ref="AH16:AI16" si="6">AH14-AH15</f>
        <v>0</v>
      </c>
      <c r="AI16" s="12">
        <f t="shared" si="6"/>
        <v>0</v>
      </c>
      <c r="AJ16" s="6">
        <f>AJ15-AJ14</f>
        <v>-40</v>
      </c>
      <c r="AK16" s="12">
        <f>AK14-AK15</f>
        <v>2.3000000000000003</v>
      </c>
      <c r="AL16" s="12">
        <f>AL14-AL15</f>
        <v>0.60000000000000009</v>
      </c>
      <c r="AM16" s="6" t="str">
        <f>IF( OR( AM14 = "", AM15 = ""), "-", ABS(AM15-AM14) )</f>
        <v>-</v>
      </c>
      <c r="AN16" s="12">
        <f t="shared" ref="AN16" si="7">AN14-AN15</f>
        <v>0</v>
      </c>
      <c r="AO16" s="127">
        <f>AO14-AO15</f>
        <v>0</v>
      </c>
      <c r="AP16" s="6" t="str">
        <f>IF( OR( AP14 = "", AP15 = ""), "-", ABS(AP15-AP14) )</f>
        <v>-</v>
      </c>
      <c r="AQ16" s="12">
        <f t="shared" ref="AQ16" si="8">AQ14-AQ15</f>
        <v>0</v>
      </c>
      <c r="AR16" s="127">
        <f>AR14-AR15</f>
        <v>0</v>
      </c>
    </row>
    <row r="17" spans="2:44" ht="8" customHeight="1" x14ac:dyDescent="0.2">
      <c r="B17" s="20"/>
      <c r="C17" s="83"/>
      <c r="D17" s="81"/>
      <c r="E17" s="82"/>
      <c r="F17" s="83"/>
      <c r="G17" s="81"/>
      <c r="H17" s="82"/>
      <c r="I17" s="83"/>
      <c r="J17" s="81"/>
      <c r="K17" s="82"/>
      <c r="L17" s="7"/>
      <c r="M17" s="11"/>
      <c r="N17" s="3"/>
      <c r="O17" s="7"/>
      <c r="P17" s="11"/>
      <c r="Q17" s="3"/>
      <c r="R17" s="7"/>
      <c r="S17" s="11"/>
      <c r="T17" s="3"/>
      <c r="U17" s="83"/>
      <c r="V17" s="81"/>
      <c r="W17" s="82"/>
      <c r="X17" s="7"/>
      <c r="Y17" s="11"/>
      <c r="Z17" s="3"/>
      <c r="AA17" s="7"/>
      <c r="AB17" s="11"/>
      <c r="AC17" s="3"/>
      <c r="AD17" s="7"/>
      <c r="AE17" s="11"/>
      <c r="AF17" s="3"/>
      <c r="AG17" s="7"/>
      <c r="AH17" s="11"/>
      <c r="AI17" s="3"/>
      <c r="AJ17" s="7"/>
      <c r="AK17" s="11"/>
      <c r="AL17" s="3"/>
      <c r="AM17" s="7"/>
      <c r="AN17" s="11"/>
      <c r="AO17" s="3"/>
      <c r="AP17" s="7"/>
      <c r="AQ17" s="11"/>
      <c r="AR17" s="3"/>
    </row>
    <row r="18" spans="2:44" x14ac:dyDescent="0.2">
      <c r="B18" s="20"/>
      <c r="C18" s="84" t="s">
        <v>14</v>
      </c>
      <c r="D18" s="75" t="s">
        <v>15</v>
      </c>
      <c r="E18" s="76" t="s">
        <v>17</v>
      </c>
      <c r="F18" s="84" t="s">
        <v>14</v>
      </c>
      <c r="G18" s="75" t="s">
        <v>15</v>
      </c>
      <c r="H18" s="76" t="s">
        <v>17</v>
      </c>
      <c r="I18" s="84" t="s">
        <v>14</v>
      </c>
      <c r="J18" s="75" t="s">
        <v>15</v>
      </c>
      <c r="K18" s="76" t="s">
        <v>17</v>
      </c>
      <c r="L18" s="8" t="s">
        <v>14</v>
      </c>
      <c r="M18" s="12" t="s">
        <v>15</v>
      </c>
      <c r="N18" s="5" t="s">
        <v>17</v>
      </c>
      <c r="O18" s="8" t="s">
        <v>14</v>
      </c>
      <c r="P18" s="12" t="s">
        <v>15</v>
      </c>
      <c r="Q18" s="5" t="s">
        <v>17</v>
      </c>
      <c r="R18" s="8" t="s">
        <v>14</v>
      </c>
      <c r="S18" s="12" t="s">
        <v>15</v>
      </c>
      <c r="T18" s="5" t="s">
        <v>17</v>
      </c>
      <c r="U18" s="84" t="s">
        <v>14</v>
      </c>
      <c r="V18" s="75" t="s">
        <v>15</v>
      </c>
      <c r="W18" s="76" t="s">
        <v>17</v>
      </c>
      <c r="X18" s="8" t="s">
        <v>14</v>
      </c>
      <c r="Y18" s="12" t="s">
        <v>15</v>
      </c>
      <c r="Z18" s="5" t="s">
        <v>17</v>
      </c>
      <c r="AA18" s="8" t="s">
        <v>14</v>
      </c>
      <c r="AB18" s="12" t="s">
        <v>15</v>
      </c>
      <c r="AC18" s="5" t="s">
        <v>17</v>
      </c>
      <c r="AD18" s="8" t="s">
        <v>14</v>
      </c>
      <c r="AE18" s="12" t="s">
        <v>15</v>
      </c>
      <c r="AF18" s="5" t="s">
        <v>17</v>
      </c>
      <c r="AG18" s="8" t="s">
        <v>14</v>
      </c>
      <c r="AH18" s="12" t="s">
        <v>15</v>
      </c>
      <c r="AI18" s="5" t="s">
        <v>17</v>
      </c>
      <c r="AJ18" s="8" t="s">
        <v>14</v>
      </c>
      <c r="AK18" s="12" t="s">
        <v>15</v>
      </c>
      <c r="AL18" s="5" t="s">
        <v>17</v>
      </c>
      <c r="AM18" s="8" t="s">
        <v>14</v>
      </c>
      <c r="AN18" s="12" t="s">
        <v>15</v>
      </c>
      <c r="AO18" s="5" t="s">
        <v>17</v>
      </c>
      <c r="AP18" s="8" t="s">
        <v>14</v>
      </c>
      <c r="AQ18" s="12" t="s">
        <v>15</v>
      </c>
      <c r="AR18" s="5" t="s">
        <v>17</v>
      </c>
    </row>
    <row r="19" spans="2:44" x14ac:dyDescent="0.2">
      <c r="B19" s="24" t="s">
        <v>13</v>
      </c>
      <c r="C19" s="85">
        <v>40</v>
      </c>
      <c r="D19" s="86">
        <f>D11+D16</f>
        <v>3.8500000000000005</v>
      </c>
      <c r="E19" s="73">
        <f>-(E11+E16)</f>
        <v>-7.7500000000000009</v>
      </c>
      <c r="F19" s="85">
        <v>40</v>
      </c>
      <c r="G19" s="86">
        <f>G11+G16</f>
        <v>4</v>
      </c>
      <c r="H19" s="73">
        <f>-(H11+H16)</f>
        <v>-0.2</v>
      </c>
      <c r="I19" s="85">
        <v>40</v>
      </c>
      <c r="J19" s="86">
        <f>J11+J16</f>
        <v>4.9000000000000004</v>
      </c>
      <c r="K19" s="73">
        <f>-(K11+K16)</f>
        <v>-0.55000000000000004</v>
      </c>
      <c r="L19" s="25">
        <v>40</v>
      </c>
      <c r="M19" s="26">
        <f>M11+M16</f>
        <v>5.75</v>
      </c>
      <c r="N19" s="27">
        <f>-(N11+N16)</f>
        <v>-0.55000000000000004</v>
      </c>
      <c r="O19" s="25">
        <f>MAX( O11, O16 )</f>
        <v>45</v>
      </c>
      <c r="P19" s="26">
        <f>P11+P16</f>
        <v>4.5</v>
      </c>
      <c r="Q19" s="27">
        <f>-(Q11+Q16)</f>
        <v>-12.05</v>
      </c>
      <c r="R19" s="25">
        <f>MAX( R11, R16 )</f>
        <v>40</v>
      </c>
      <c r="S19" s="26">
        <f>S11+S16</f>
        <v>3.5999999999999996</v>
      </c>
      <c r="T19" s="27">
        <f>-(T11+T16)</f>
        <v>-3.4</v>
      </c>
      <c r="U19" s="85">
        <v>40</v>
      </c>
      <c r="V19" s="86">
        <f>V11+V16</f>
        <v>1.85</v>
      </c>
      <c r="W19" s="73">
        <f>-(W11+W16)</f>
        <v>-1.2000000000000002</v>
      </c>
      <c r="X19" s="25">
        <f>MAX( X11, X16 )</f>
        <v>40</v>
      </c>
      <c r="Y19" s="26">
        <f>Y11+Y16</f>
        <v>5.3000000000000007</v>
      </c>
      <c r="Z19" s="27">
        <f>-(Z11+Z16)</f>
        <v>-1.75</v>
      </c>
      <c r="AA19" s="25">
        <f>MAX( AA11, AA16 )</f>
        <v>40</v>
      </c>
      <c r="AB19" s="26">
        <f>AB11+AB16</f>
        <v>2.9</v>
      </c>
      <c r="AC19" s="27">
        <f>-(AC11+AC16)</f>
        <v>-2.9000000000000004</v>
      </c>
      <c r="AD19" s="25">
        <f>MAX( AD11, AD16 )</f>
        <v>55</v>
      </c>
      <c r="AE19" s="26">
        <f>AE11+AE16</f>
        <v>2.85</v>
      </c>
      <c r="AF19" s="27">
        <f>-(AF11+AF16)</f>
        <v>-2.8500000000000005</v>
      </c>
      <c r="AG19" s="25">
        <f>MAX( AG11, AG16 )</f>
        <v>50</v>
      </c>
      <c r="AH19" s="26">
        <f>AH11+AH16</f>
        <v>1.2000000000000002</v>
      </c>
      <c r="AI19" s="27">
        <f>-(AI11+AI16)</f>
        <v>-2.85</v>
      </c>
      <c r="AJ19" s="25">
        <f>MAX( AJ11, AJ16 )</f>
        <v>40</v>
      </c>
      <c r="AK19" s="26">
        <f>AK11+AK16</f>
        <v>4.0500000000000007</v>
      </c>
      <c r="AL19" s="27">
        <f>-(AL11+AL16)</f>
        <v>-3.2500000000000004</v>
      </c>
      <c r="AM19" s="25">
        <f>MAX( AM11, AM16 )</f>
        <v>15</v>
      </c>
      <c r="AN19" s="26">
        <f>AN11+AN16</f>
        <v>2.25</v>
      </c>
      <c r="AO19" s="27">
        <f>-(AO11+AO16)</f>
        <v>-2.1</v>
      </c>
      <c r="AP19" s="25">
        <f>MAX( AP11, AP16 )</f>
        <v>15</v>
      </c>
      <c r="AQ19" s="26">
        <f>AQ11+AQ16</f>
        <v>-3.3</v>
      </c>
      <c r="AR19" s="27">
        <f>(AR11+AR16)</f>
        <v>3.9</v>
      </c>
    </row>
    <row r="20" spans="2:44" ht="8" customHeight="1" x14ac:dyDescent="0.2">
      <c r="B20" s="17"/>
      <c r="C20" s="64"/>
      <c r="D20" s="81"/>
      <c r="E20" s="82"/>
      <c r="F20" s="64"/>
      <c r="G20" s="81"/>
      <c r="H20" s="82"/>
      <c r="I20" s="64"/>
      <c r="J20" s="81"/>
      <c r="K20" s="82"/>
      <c r="L20" s="2"/>
      <c r="M20" s="11"/>
      <c r="N20" s="3"/>
      <c r="O20" s="2"/>
      <c r="P20" s="11"/>
      <c r="Q20" s="3"/>
      <c r="R20" s="2"/>
      <c r="S20" s="11"/>
      <c r="T20" s="3"/>
      <c r="U20" s="64"/>
      <c r="V20" s="81"/>
      <c r="W20" s="82"/>
      <c r="X20" s="2"/>
      <c r="Y20" s="11"/>
      <c r="Z20" s="3"/>
      <c r="AA20" s="2"/>
      <c r="AB20" s="11"/>
      <c r="AC20" s="3"/>
      <c r="AD20" s="2"/>
      <c r="AE20" s="11"/>
      <c r="AF20" s="3"/>
      <c r="AG20" s="2"/>
      <c r="AH20" s="11"/>
      <c r="AI20" s="3"/>
      <c r="AJ20" s="2"/>
      <c r="AK20" s="11"/>
      <c r="AL20" s="3"/>
      <c r="AM20" s="2"/>
      <c r="AN20" s="11"/>
      <c r="AO20" s="3"/>
      <c r="AP20" s="2"/>
      <c r="AQ20" s="11"/>
      <c r="AR20" s="3"/>
    </row>
    <row r="21" spans="2:44" x14ac:dyDescent="0.2">
      <c r="B21" s="18" t="s">
        <v>16</v>
      </c>
      <c r="C21" s="80" t="s">
        <v>18</v>
      </c>
      <c r="D21" s="87">
        <v>1</v>
      </c>
      <c r="E21" s="88" t="s">
        <v>18</v>
      </c>
      <c r="F21" s="80" t="s">
        <v>18</v>
      </c>
      <c r="G21" s="87">
        <v>1</v>
      </c>
      <c r="H21" s="88" t="s">
        <v>18</v>
      </c>
      <c r="I21" s="80" t="s">
        <v>18</v>
      </c>
      <c r="J21" s="87">
        <v>1</v>
      </c>
      <c r="K21" s="88" t="s">
        <v>18</v>
      </c>
      <c r="L21" s="6" t="s">
        <v>18</v>
      </c>
      <c r="M21" s="16">
        <v>2</v>
      </c>
      <c r="N21" s="9" t="s">
        <v>18</v>
      </c>
      <c r="O21" s="6" t="s">
        <v>18</v>
      </c>
      <c r="P21" s="16">
        <v>2</v>
      </c>
      <c r="Q21" s="9" t="s">
        <v>18</v>
      </c>
      <c r="R21" s="6" t="s">
        <v>18</v>
      </c>
      <c r="S21" s="16">
        <v>2</v>
      </c>
      <c r="T21" s="9" t="s">
        <v>18</v>
      </c>
      <c r="U21" s="80" t="s">
        <v>18</v>
      </c>
      <c r="V21" s="87">
        <v>2</v>
      </c>
      <c r="W21" s="88" t="s">
        <v>18</v>
      </c>
      <c r="X21" s="6" t="s">
        <v>18</v>
      </c>
      <c r="Y21" s="16">
        <v>2</v>
      </c>
      <c r="Z21" s="9" t="s">
        <v>18</v>
      </c>
      <c r="AA21" s="6" t="s">
        <v>18</v>
      </c>
      <c r="AB21" s="16">
        <v>2</v>
      </c>
      <c r="AC21" s="9" t="s">
        <v>18</v>
      </c>
      <c r="AD21" s="6" t="s">
        <v>18</v>
      </c>
      <c r="AE21" s="16">
        <v>2</v>
      </c>
      <c r="AF21" s="9" t="s">
        <v>18</v>
      </c>
      <c r="AG21" s="6" t="s">
        <v>18</v>
      </c>
      <c r="AH21" s="16">
        <v>2</v>
      </c>
      <c r="AI21" s="9" t="s">
        <v>18</v>
      </c>
      <c r="AJ21" s="6" t="s">
        <v>18</v>
      </c>
      <c r="AK21" s="16">
        <v>2</v>
      </c>
      <c r="AL21" s="9" t="s">
        <v>18</v>
      </c>
      <c r="AM21" s="6" t="s">
        <v>18</v>
      </c>
      <c r="AN21" s="16">
        <v>2</v>
      </c>
      <c r="AO21" s="9" t="s">
        <v>18</v>
      </c>
      <c r="AP21" s="6" t="s">
        <v>18</v>
      </c>
      <c r="AQ21" s="16">
        <v>1</v>
      </c>
      <c r="AR21" s="9" t="s">
        <v>18</v>
      </c>
    </row>
    <row r="22" spans="2:44" x14ac:dyDescent="0.2">
      <c r="B22" s="28" t="s">
        <v>4</v>
      </c>
      <c r="C22" s="89" t="s">
        <v>18</v>
      </c>
      <c r="D22" s="90">
        <f>100 * D19 * D21</f>
        <v>385.00000000000006</v>
      </c>
      <c r="E22" s="91"/>
      <c r="F22" s="89" t="s">
        <v>18</v>
      </c>
      <c r="G22" s="90">
        <f>100 * G19 * G21</f>
        <v>400</v>
      </c>
      <c r="H22" s="91"/>
      <c r="I22" s="89" t="s">
        <v>18</v>
      </c>
      <c r="J22" s="90">
        <f>100 * J19 * J21</f>
        <v>490.00000000000006</v>
      </c>
      <c r="K22" s="91"/>
      <c r="L22" s="29" t="s">
        <v>18</v>
      </c>
      <c r="M22" s="30">
        <f>100 * M19 * M21</f>
        <v>1150</v>
      </c>
      <c r="N22" s="31"/>
      <c r="O22" s="29" t="s">
        <v>18</v>
      </c>
      <c r="P22" s="30">
        <f>100 * P19 * P21</f>
        <v>900</v>
      </c>
      <c r="Q22" s="31"/>
      <c r="R22" s="29" t="s">
        <v>18</v>
      </c>
      <c r="S22" s="30">
        <f>100 * S19 * S21</f>
        <v>719.99999999999989</v>
      </c>
      <c r="T22" s="31"/>
      <c r="U22" s="89" t="s">
        <v>18</v>
      </c>
      <c r="V22" s="90">
        <f>100 * V19 * V21</f>
        <v>370</v>
      </c>
      <c r="W22" s="91"/>
      <c r="X22" s="29" t="s">
        <v>18</v>
      </c>
      <c r="Y22" s="30">
        <f>100 * Y19 * Y21</f>
        <v>1060.0000000000002</v>
      </c>
      <c r="Z22" s="31"/>
      <c r="AA22" s="29" t="s">
        <v>18</v>
      </c>
      <c r="AB22" s="30">
        <f>100 * AB19 * AB21</f>
        <v>580</v>
      </c>
      <c r="AC22" s="31"/>
      <c r="AD22" s="29" t="s">
        <v>18</v>
      </c>
      <c r="AE22" s="30">
        <f>100 * AE19 * AE21</f>
        <v>570</v>
      </c>
      <c r="AF22" s="31"/>
      <c r="AG22" s="29" t="s">
        <v>18</v>
      </c>
      <c r="AH22" s="30">
        <f>100 * AH19 * AH21</f>
        <v>240.00000000000003</v>
      </c>
      <c r="AI22" s="31"/>
      <c r="AJ22" s="29" t="s">
        <v>18</v>
      </c>
      <c r="AK22" s="30">
        <f>100 * AK19 * AK21</f>
        <v>810.00000000000011</v>
      </c>
      <c r="AL22" s="31"/>
      <c r="AM22" s="29" t="s">
        <v>18</v>
      </c>
      <c r="AN22" s="30">
        <f>100 * AN19 * AN21</f>
        <v>450</v>
      </c>
      <c r="AO22" s="31"/>
      <c r="AP22" s="29" t="s">
        <v>18</v>
      </c>
      <c r="AQ22" s="30">
        <f>100 * AQ19 * AQ21</f>
        <v>-330</v>
      </c>
      <c r="AR22" s="31"/>
    </row>
    <row r="23" spans="2:44" x14ac:dyDescent="0.2">
      <c r="B23" s="40" t="s">
        <v>20</v>
      </c>
      <c r="C23" s="92"/>
      <c r="D23" s="93">
        <f>D22 * -2</f>
        <v>-770.00000000000011</v>
      </c>
      <c r="E23" s="94"/>
      <c r="F23" s="92"/>
      <c r="G23" s="93">
        <f>G22 * -2</f>
        <v>-800</v>
      </c>
      <c r="H23" s="94"/>
      <c r="I23" s="92"/>
      <c r="J23" s="93">
        <f>J22 * -2</f>
        <v>-980.00000000000011</v>
      </c>
      <c r="K23" s="94"/>
      <c r="L23" s="41"/>
      <c r="M23" s="42">
        <f>M22 * -2</f>
        <v>-2300</v>
      </c>
      <c r="N23" s="43"/>
      <c r="O23" s="41"/>
      <c r="P23" s="42">
        <f>P22 * -2</f>
        <v>-1800</v>
      </c>
      <c r="Q23" s="43"/>
      <c r="R23" s="41"/>
      <c r="S23" s="42">
        <f>S22 * -2</f>
        <v>-1439.9999999999998</v>
      </c>
      <c r="T23" s="43"/>
      <c r="U23" s="92"/>
      <c r="V23" s="93">
        <f>V22 * -2</f>
        <v>-740</v>
      </c>
      <c r="W23" s="94"/>
      <c r="X23" s="41"/>
      <c r="Y23" s="42">
        <f>Y22 * -2</f>
        <v>-2120.0000000000005</v>
      </c>
      <c r="Z23" s="43"/>
      <c r="AA23" s="41"/>
      <c r="AB23" s="42">
        <f>AB22 * -2</f>
        <v>-1160</v>
      </c>
      <c r="AC23" s="43"/>
      <c r="AD23" s="41"/>
      <c r="AE23" s="42">
        <f>AE22 * -2</f>
        <v>-1140</v>
      </c>
      <c r="AF23" s="43"/>
      <c r="AG23" s="41"/>
      <c r="AH23" s="42">
        <f>AH22 * -2</f>
        <v>-480.00000000000006</v>
      </c>
      <c r="AI23" s="43"/>
      <c r="AJ23" s="41"/>
      <c r="AK23" s="42">
        <f>AK22 * -2</f>
        <v>-1620.0000000000002</v>
      </c>
      <c r="AL23" s="43"/>
      <c r="AM23" s="41"/>
      <c r="AN23" s="42">
        <f>AN22 * -2</f>
        <v>-900</v>
      </c>
      <c r="AO23" s="43"/>
      <c r="AP23" s="41"/>
      <c r="AQ23" s="42">
        <f>AQ22 * -2</f>
        <v>660</v>
      </c>
      <c r="AR23" s="43"/>
    </row>
    <row r="24" spans="2:44" x14ac:dyDescent="0.2">
      <c r="B24" s="35" t="s">
        <v>5</v>
      </c>
      <c r="C24" s="95" t="s">
        <v>18</v>
      </c>
      <c r="D24" s="96">
        <f>IF( D22 = 0, 0, (-100 * C19 + D22) * D21 )</f>
        <v>-3615</v>
      </c>
      <c r="E24" s="97"/>
      <c r="F24" s="95" t="s">
        <v>18</v>
      </c>
      <c r="G24" s="96">
        <f>IF( G22 = 0, 0, (-100 * F19 + G22) * G21 )</f>
        <v>-3600</v>
      </c>
      <c r="H24" s="97"/>
      <c r="I24" s="95" t="s">
        <v>18</v>
      </c>
      <c r="J24" s="96">
        <f>IF( J22 = 0, 0, (-100 * I19 + J22) * J21 )</f>
        <v>-3510</v>
      </c>
      <c r="K24" s="97"/>
      <c r="L24" s="36" t="s">
        <v>18</v>
      </c>
      <c r="M24" s="37">
        <f>IF( M22 = 0, 0, (-100 * L19 + M22) * M21 )</f>
        <v>-5700</v>
      </c>
      <c r="N24" s="38"/>
      <c r="O24" s="36" t="s">
        <v>18</v>
      </c>
      <c r="P24" s="37">
        <f>IF( P22 = 0, 0, (-100 * O19 + P22) * P21 )</f>
        <v>-7200</v>
      </c>
      <c r="Q24" s="38"/>
      <c r="R24" s="36" t="s">
        <v>18</v>
      </c>
      <c r="S24" s="37">
        <f>IF( S22 = 0, 0, (-100 * R19 + S22) * S21 )</f>
        <v>-6560</v>
      </c>
      <c r="T24" s="38"/>
      <c r="U24" s="95" t="s">
        <v>18</v>
      </c>
      <c r="V24" s="96">
        <f>IF( V22 = 0, 0, (-100 * U19 + V22) * V21 )</f>
        <v>-7260</v>
      </c>
      <c r="W24" s="97"/>
      <c r="X24" s="36" t="s">
        <v>18</v>
      </c>
      <c r="Y24" s="37">
        <f>IF( Y22 = 0, 0, (-100 * X19 + Y22) * Y21 )</f>
        <v>-5880</v>
      </c>
      <c r="Z24" s="38"/>
      <c r="AA24" s="36" t="s">
        <v>18</v>
      </c>
      <c r="AB24" s="37">
        <f>IF( AB22 = 0, 0, (-100 * AA19 + AB22) * AB21 )</f>
        <v>-6840</v>
      </c>
      <c r="AC24" s="38"/>
      <c r="AD24" s="36" t="s">
        <v>18</v>
      </c>
      <c r="AE24" s="37">
        <f>IF( AE22 = 0, 0, (-100 * AD19 + AE22) * AE21 )</f>
        <v>-9860</v>
      </c>
      <c r="AF24" s="38"/>
      <c r="AG24" s="36" t="s">
        <v>18</v>
      </c>
      <c r="AH24" s="37">
        <f>IF( AH22 = 0, 0, (-100 * AG19 + AH22) * AH21 )</f>
        <v>-9520</v>
      </c>
      <c r="AI24" s="38"/>
      <c r="AJ24" s="36" t="s">
        <v>18</v>
      </c>
      <c r="AK24" s="37">
        <f>IF( AK22 = 0, 0, (-100 * AJ19 + AK22) * AK21 )</f>
        <v>-6380</v>
      </c>
      <c r="AL24" s="38"/>
      <c r="AM24" s="36" t="s">
        <v>18</v>
      </c>
      <c r="AN24" s="37">
        <f>IF( AN22 = 0, 0, (-100 * AM19 + AN22) * AN21 )</f>
        <v>-2100</v>
      </c>
      <c r="AO24" s="38"/>
      <c r="AP24" s="36" t="s">
        <v>18</v>
      </c>
      <c r="AQ24" s="37">
        <f>IF( AQ22 = 0, 0, (-100 * AP19 + AQ22) * AQ21 )</f>
        <v>-1830</v>
      </c>
      <c r="AR24" s="38"/>
    </row>
    <row r="25" spans="2:44" ht="8" customHeight="1" x14ac:dyDescent="0.2">
      <c r="B25" s="17"/>
      <c r="C25" s="64"/>
      <c r="D25" s="98"/>
      <c r="E25" s="82"/>
      <c r="F25" s="64"/>
      <c r="G25" s="98"/>
      <c r="H25" s="82"/>
      <c r="I25" s="64"/>
      <c r="J25" s="98"/>
      <c r="K25" s="82"/>
      <c r="L25" s="2"/>
      <c r="M25" s="13"/>
      <c r="N25" s="3"/>
      <c r="O25" s="2"/>
      <c r="P25" s="13"/>
      <c r="Q25" s="3"/>
      <c r="R25" s="2"/>
      <c r="S25" s="13"/>
      <c r="T25" s="3"/>
      <c r="U25" s="64"/>
      <c r="V25" s="98"/>
      <c r="W25" s="82"/>
      <c r="X25" s="2"/>
      <c r="Y25" s="13"/>
      <c r="Z25" s="3"/>
      <c r="AA25" s="2"/>
      <c r="AB25" s="13"/>
      <c r="AC25" s="3"/>
      <c r="AD25" s="2"/>
      <c r="AE25" s="13"/>
      <c r="AF25" s="3"/>
      <c r="AG25" s="2"/>
      <c r="AH25" s="13"/>
      <c r="AI25" s="3"/>
      <c r="AJ25" s="2"/>
      <c r="AK25" s="13"/>
      <c r="AL25" s="3"/>
      <c r="AM25" s="2"/>
      <c r="AN25" s="13"/>
      <c r="AO25" s="3"/>
      <c r="AP25" s="2"/>
      <c r="AQ25" s="13"/>
      <c r="AR25" s="3"/>
    </row>
    <row r="26" spans="2:44" x14ac:dyDescent="0.2">
      <c r="B26" s="32" t="s">
        <v>19</v>
      </c>
      <c r="C26" s="99" t="s">
        <v>18</v>
      </c>
      <c r="D26" s="100" t="str">
        <f>IFERROR( "1:" &amp; TEXT( -D24/D22, "#" ), "-" )</f>
        <v>1:9</v>
      </c>
      <c r="E26" s="101">
        <f>ROUND( ( D19 + E19 ) * D21 * 100, 2 )</f>
        <v>-390</v>
      </c>
      <c r="F26" s="99" t="s">
        <v>18</v>
      </c>
      <c r="G26" s="100" t="str">
        <f>IFERROR( "1:" &amp; TEXT( -G24/G22, "#" ), "-" )</f>
        <v>1:9</v>
      </c>
      <c r="H26" s="101">
        <f>ROUND( ( G19 + H19 ) * G21 * 100, 2 )</f>
        <v>380</v>
      </c>
      <c r="I26" s="99" t="s">
        <v>18</v>
      </c>
      <c r="J26" s="100" t="str">
        <f t="shared" ref="J26" si="9">IFERROR( "1:" &amp; TEXT( -J24/J22, "#" ), "-" )</f>
        <v>1:7</v>
      </c>
      <c r="K26" s="101">
        <f t="shared" ref="K26" si="10">ROUND( ( J19 + K19 ) * J21 * 100, 2 )</f>
        <v>435</v>
      </c>
      <c r="L26" s="33" t="s">
        <v>18</v>
      </c>
      <c r="M26" s="34" t="str">
        <f t="shared" ref="M26" si="11">IFERROR( "1:" &amp; TEXT( -M24/M22, "#" ), "-" )</f>
        <v>1:5</v>
      </c>
      <c r="N26" s="116">
        <f t="shared" ref="N26" si="12">ROUND( ( M19 + N19 ) * M21 * 100, 2 )</f>
        <v>1040</v>
      </c>
      <c r="O26" s="33" t="s">
        <v>18</v>
      </c>
      <c r="P26" s="34" t="str">
        <f t="shared" ref="P26" si="13">IFERROR( "1:" &amp; TEXT( -P24/P22, "#" ), "-" )</f>
        <v>1:8</v>
      </c>
      <c r="Q26" s="116">
        <f t="shared" ref="Q26:AC26" si="14">ROUND( ( P19 + Q19 ) * P21 * 100, 2 )</f>
        <v>-1510</v>
      </c>
      <c r="R26" s="33" t="s">
        <v>18</v>
      </c>
      <c r="S26" s="34" t="str">
        <f t="shared" ref="S26" si="15">IFERROR( "1:" &amp; TEXT( -S24/S22, "#" ), "-" )</f>
        <v>1:9</v>
      </c>
      <c r="T26" s="116">
        <f t="shared" si="14"/>
        <v>40</v>
      </c>
      <c r="U26" s="99" t="s">
        <v>18</v>
      </c>
      <c r="V26" s="100" t="str">
        <f t="shared" ref="V26" si="16">IFERROR( "1:" &amp; TEXT( -V24/V22, "#" ), "-" )</f>
        <v>1:20</v>
      </c>
      <c r="W26" s="101">
        <f t="shared" ref="W26" si="17">ROUND( ( V19 + W19 ) * V21 * 100, 2 )</f>
        <v>130</v>
      </c>
      <c r="X26" s="33" t="s">
        <v>18</v>
      </c>
      <c r="Y26" s="34" t="str">
        <f t="shared" ref="Y26" si="18">IFERROR( "1:" &amp; TEXT( -Y24/Y22, "#" ), "-" )</f>
        <v>1:6</v>
      </c>
      <c r="Z26" s="116">
        <f t="shared" si="14"/>
        <v>710</v>
      </c>
      <c r="AA26" s="33" t="s">
        <v>18</v>
      </c>
      <c r="AB26" s="34" t="str">
        <f t="shared" ref="AB26" si="19">IFERROR( "1:" &amp; TEXT( -AB24/AB22, "#" ), "-" )</f>
        <v>1:12</v>
      </c>
      <c r="AC26" s="116">
        <f t="shared" si="14"/>
        <v>0</v>
      </c>
      <c r="AD26" s="33" t="s">
        <v>18</v>
      </c>
      <c r="AE26" s="34" t="str">
        <f t="shared" ref="AE26" si="20">IFERROR( "1:" &amp; TEXT( -AE24/AE22, "#" ), "-" )</f>
        <v>1:17</v>
      </c>
      <c r="AF26" s="116">
        <f t="shared" ref="AF26" si="21">ROUND( ( AE19 + AF19 ) * AE21 * 100, 2 )</f>
        <v>0</v>
      </c>
      <c r="AG26" s="33" t="s">
        <v>18</v>
      </c>
      <c r="AH26" s="34" t="str">
        <f t="shared" ref="AH26" si="22">IFERROR( "1:" &amp; TEXT( -AH24/AH22, "#" ), "-" )</f>
        <v>1:40</v>
      </c>
      <c r="AI26" s="116">
        <f t="shared" ref="AI26" si="23">ROUND( ( AH19 + AI19 ) * AH21 * 100, 2 )</f>
        <v>-330</v>
      </c>
      <c r="AJ26" s="33" t="s">
        <v>18</v>
      </c>
      <c r="AK26" s="34" t="str">
        <f t="shared" ref="AK26" si="24">IFERROR( "1:" &amp; TEXT( -AK24/AK22, "#" ), "-" )</f>
        <v>1:8</v>
      </c>
      <c r="AL26" s="116">
        <f t="shared" ref="AL26" si="25">ROUND( ( AK19 + AL19 ) * AK21 * 100, 2 )</f>
        <v>160</v>
      </c>
      <c r="AM26" s="33" t="s">
        <v>18</v>
      </c>
      <c r="AN26" s="34" t="str">
        <f t="shared" ref="AN26" si="26">IFERROR( "1:" &amp; TEXT( -AN24/AN22, "#" ), "-" )</f>
        <v>1:5</v>
      </c>
      <c r="AO26" s="116">
        <f t="shared" ref="AO26" si="27">ROUND( ( AN19 + AO19 ) * AN21 * 100, 2 )</f>
        <v>30</v>
      </c>
      <c r="AP26" s="33" t="s">
        <v>18</v>
      </c>
      <c r="AQ26" s="34" t="str">
        <f t="shared" ref="AQ26" si="28">IFERROR( "1:" &amp; TEXT( -AQ24/AQ22, "#" ), "-" )</f>
        <v>1:-6</v>
      </c>
      <c r="AR26" s="116">
        <f t="shared" ref="AR26" si="29">ROUND( ( AQ19 + AR19 ) * AQ21 * 100, 2 )</f>
        <v>60</v>
      </c>
    </row>
    <row r="27" spans="2:44" ht="12" customHeight="1" x14ac:dyDescent="0.2">
      <c r="D27" s="112"/>
      <c r="E27" s="112"/>
      <c r="G27" s="112"/>
      <c r="H27" s="112"/>
      <c r="J27" s="112"/>
      <c r="K27" s="112"/>
      <c r="M27" s="112"/>
      <c r="N27" s="113">
        <f>IF( N26 = "", "-", IFERROR( N26/M22, "-" ) )</f>
        <v>0.90434782608695652</v>
      </c>
      <c r="P27" s="112"/>
      <c r="Q27" s="113">
        <f>IF( Q26 = "", "-", IFERROR( Q26/P22, "-" ) )</f>
        <v>-1.6777777777777778</v>
      </c>
      <c r="S27" s="112"/>
      <c r="T27" s="113">
        <f>IF( T26 = "", "-", IFERROR( T26/S22, "-" ) )</f>
        <v>5.5555555555555566E-2</v>
      </c>
      <c r="V27" s="112"/>
      <c r="W27" s="112"/>
      <c r="Y27" s="112"/>
      <c r="Z27" s="113">
        <f>IF( Z26 = "", "-", IFERROR( Z26/Y22, "-" ) )</f>
        <v>0.66981132075471683</v>
      </c>
      <c r="AB27" s="112"/>
      <c r="AC27" s="113">
        <f>IF( AC26 = "", "-", IFERROR( AC26/AB22, "-" ) )</f>
        <v>0</v>
      </c>
      <c r="AE27" s="112"/>
      <c r="AF27" s="113">
        <f>IF( AF26 = "", "-", IFERROR( AF26/AE22, "-" ) )</f>
        <v>0</v>
      </c>
      <c r="AH27" s="112"/>
      <c r="AI27" s="113">
        <f>IF( AI26 = "", "-", IFERROR( AI26/AH22, "-" ) )</f>
        <v>-1.3749999999999998</v>
      </c>
      <c r="AK27" s="112"/>
      <c r="AL27" s="113">
        <f>IF( AL26 = "", "-", IFERROR( AL26/AK22, "-" ) )</f>
        <v>0.19753086419753083</v>
      </c>
      <c r="AN27" s="112"/>
      <c r="AO27" s="113">
        <f>IF( AO26 = "", "-", IFERROR( AO26/AN22, "-" ) )</f>
        <v>6.6666666666666666E-2</v>
      </c>
      <c r="AQ27" s="112"/>
      <c r="AR27" s="113">
        <f>IF( AR26 = "", "-", IFERROR( AR26/AQ22, "-" ) )</f>
        <v>-0.18181818181818182</v>
      </c>
    </row>
    <row r="28" spans="2:44" x14ac:dyDescent="0.2">
      <c r="Q28" s="126">
        <f>N26 + Q26</f>
        <v>-470</v>
      </c>
      <c r="S28" s="107" t="s">
        <v>36</v>
      </c>
      <c r="T28" s="126">
        <f>Q28 + T26</f>
        <v>-430</v>
      </c>
      <c r="W28" s="1">
        <f>T28</f>
        <v>-430</v>
      </c>
      <c r="Z28" s="126">
        <f>T28 + Z26</f>
        <v>280</v>
      </c>
      <c r="AC28" s="126">
        <f>Z28 + AC26</f>
        <v>280</v>
      </c>
      <c r="AE28" s="157" t="s">
        <v>303</v>
      </c>
      <c r="AF28" s="126">
        <f>AC28 + AF26</f>
        <v>280</v>
      </c>
      <c r="AH28" s="1"/>
      <c r="AI28" s="126">
        <f>AF28 + AI26</f>
        <v>-50</v>
      </c>
      <c r="AK28" s="1"/>
      <c r="AL28" s="126">
        <f>AI28 + AL26</f>
        <v>110</v>
      </c>
      <c r="AO28" s="126">
        <f>AL28 + AO26</f>
        <v>140</v>
      </c>
      <c r="AR28" s="126">
        <f>AO28 + AR26</f>
        <v>200</v>
      </c>
    </row>
    <row r="29" spans="2:44" x14ac:dyDescent="0.2">
      <c r="Y29" t="s">
        <v>52</v>
      </c>
      <c r="Z29" s="1">
        <v>6.6</v>
      </c>
      <c r="AB29" t="s">
        <v>52</v>
      </c>
      <c r="AC29" s="1">
        <v>2.9</v>
      </c>
      <c r="AE29" t="s">
        <v>52</v>
      </c>
      <c r="AF29" s="1">
        <v>2.6</v>
      </c>
      <c r="AH29" t="s">
        <v>52</v>
      </c>
      <c r="AI29" s="1">
        <v>2.6</v>
      </c>
      <c r="AK29" t="s">
        <v>52</v>
      </c>
      <c r="AL29" s="1">
        <v>2.6</v>
      </c>
      <c r="AN29" t="s">
        <v>52</v>
      </c>
      <c r="AQ29" t="s">
        <v>52</v>
      </c>
    </row>
    <row r="30" spans="2:44" x14ac:dyDescent="0.2">
      <c r="Y30" s="1" t="s">
        <v>53</v>
      </c>
      <c r="Z30" s="1">
        <v>6.8</v>
      </c>
      <c r="AB30" s="1" t="s">
        <v>53</v>
      </c>
      <c r="AC30" s="1">
        <v>2.9</v>
      </c>
      <c r="AE30" s="1" t="s">
        <v>53</v>
      </c>
      <c r="AF30" s="1">
        <v>2.85</v>
      </c>
      <c r="AH30" s="1" t="s">
        <v>53</v>
      </c>
      <c r="AI30" s="1">
        <v>2.85</v>
      </c>
      <c r="AK30" s="1" t="s">
        <v>53</v>
      </c>
      <c r="AL30" s="1">
        <v>2.85</v>
      </c>
      <c r="AN30" s="1" t="s">
        <v>53</v>
      </c>
      <c r="AQ30" s="1" t="s">
        <v>53</v>
      </c>
    </row>
    <row r="31" spans="2:44" x14ac:dyDescent="0.2">
      <c r="AJ31" s="59"/>
    </row>
    <row r="32" spans="2:44" x14ac:dyDescent="0.2">
      <c r="Z32" s="60"/>
      <c r="AJ32" s="59"/>
    </row>
    <row r="33" spans="36:36" x14ac:dyDescent="0.2">
      <c r="AJ33" s="59"/>
    </row>
    <row r="35" spans="36:36" x14ac:dyDescent="0.2">
      <c r="AJ35" s="59">
        <f>SUM( AJ31:AJ33)</f>
        <v>0</v>
      </c>
    </row>
    <row r="36" spans="36:36" x14ac:dyDescent="0.2">
      <c r="AJ36" s="59">
        <f>AJ35*200</f>
        <v>0</v>
      </c>
    </row>
    <row r="37" spans="36:36" x14ac:dyDescent="0.2">
      <c r="AJ37">
        <v>-46</v>
      </c>
    </row>
    <row r="38" spans="36:36" x14ac:dyDescent="0.2">
      <c r="AJ38" s="59">
        <f>AJ36+AJ37</f>
        <v>-46</v>
      </c>
    </row>
  </sheetData>
  <mergeCells count="15">
    <mergeCell ref="AG2:AI2"/>
    <mergeCell ref="AJ2:AL2"/>
    <mergeCell ref="AM2:AO2"/>
    <mergeCell ref="AP2:AR2"/>
    <mergeCell ref="AD2:AF2"/>
    <mergeCell ref="AA2:AC2"/>
    <mergeCell ref="X2:Z2"/>
    <mergeCell ref="B2:B4"/>
    <mergeCell ref="I2:K2"/>
    <mergeCell ref="L2:N2"/>
    <mergeCell ref="U2:W2"/>
    <mergeCell ref="R2:T2"/>
    <mergeCell ref="O2:Q2"/>
    <mergeCell ref="F2:H2"/>
    <mergeCell ref="C2:E2"/>
  </mergeCells>
  <pageMargins left="0.7" right="0.7" top="0.75" bottom="0.75" header="0.3" footer="0.3"/>
  <pageSetup paperSize="9" orientation="portrait" horizontalDpi="0" verticalDpi="0"/>
  <ignoredErrors>
    <ignoredError sqref="I11 L11 AM11:AM17 AP11:AP17"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E8031-285A-9C4E-9C4F-BA9E9418C3B5}">
  <dimension ref="A2:O29"/>
  <sheetViews>
    <sheetView topLeftCell="A25" workbookViewId="0">
      <selection activeCell="K6" sqref="K6"/>
    </sheetView>
  </sheetViews>
  <sheetFormatPr baseColWidth="10" defaultRowHeight="21" customHeight="1" x14ac:dyDescent="0.2"/>
  <cols>
    <col min="1" max="1" width="10.83203125" style="133"/>
    <col min="2" max="2" width="17.1640625" style="134" customWidth="1"/>
    <col min="3" max="3" width="12.5" style="133" customWidth="1"/>
    <col min="4" max="4" width="24" style="134" customWidth="1"/>
    <col min="5" max="5" width="37.83203125" style="134" customWidth="1"/>
    <col min="6" max="6" width="14" style="134" customWidth="1"/>
    <col min="7" max="7" width="10.83203125" style="133"/>
    <col min="8" max="9" width="19.6640625" style="132" customWidth="1"/>
    <col min="10" max="13" width="9.83203125" style="132" customWidth="1"/>
    <col min="14" max="14" width="19.1640625" style="132" customWidth="1"/>
    <col min="15" max="15" width="81.5" style="132" bestFit="1" customWidth="1"/>
    <col min="16" max="16384" width="10.83203125" style="132"/>
  </cols>
  <sheetData>
    <row r="2" spans="1:15" ht="21" customHeight="1" x14ac:dyDescent="0.2">
      <c r="A2" s="128" t="s">
        <v>200</v>
      </c>
      <c r="B2" s="130" t="s">
        <v>201</v>
      </c>
      <c r="C2" s="128" t="s">
        <v>202</v>
      </c>
      <c r="D2" s="130" t="s">
        <v>203</v>
      </c>
      <c r="E2" s="130" t="s">
        <v>204</v>
      </c>
      <c r="F2" s="130"/>
      <c r="G2" s="133">
        <v>6991</v>
      </c>
      <c r="H2" s="149" t="s">
        <v>286</v>
      </c>
      <c r="J2" s="141"/>
      <c r="K2" s="141"/>
      <c r="L2" s="141"/>
      <c r="M2" s="143">
        <v>2.75</v>
      </c>
    </row>
    <row r="3" spans="1:15" ht="21" customHeight="1" x14ac:dyDescent="0.2">
      <c r="A3" s="129">
        <v>1</v>
      </c>
      <c r="B3" s="131" t="s">
        <v>205</v>
      </c>
      <c r="C3" s="129" t="s">
        <v>206</v>
      </c>
      <c r="D3" s="131" t="s">
        <v>207</v>
      </c>
      <c r="E3" s="131" t="s">
        <v>208</v>
      </c>
      <c r="F3" s="131"/>
      <c r="H3" s="142"/>
      <c r="I3" s="142"/>
      <c r="J3" s="141"/>
      <c r="K3" s="141"/>
      <c r="L3" s="141"/>
    </row>
    <row r="4" spans="1:15" ht="21" customHeight="1" x14ac:dyDescent="0.2">
      <c r="A4" s="129">
        <v>2</v>
      </c>
      <c r="B4" s="131" t="s">
        <v>209</v>
      </c>
      <c r="C4" s="129" t="s">
        <v>210</v>
      </c>
      <c r="D4" s="131" t="s">
        <v>211</v>
      </c>
      <c r="E4" s="131" t="s">
        <v>212</v>
      </c>
      <c r="F4" s="131"/>
      <c r="H4" s="175" t="s">
        <v>282</v>
      </c>
      <c r="I4" s="175" t="s">
        <v>265</v>
      </c>
      <c r="J4" s="175" t="s">
        <v>271</v>
      </c>
      <c r="K4" s="175"/>
      <c r="L4" s="175" t="s">
        <v>272</v>
      </c>
      <c r="M4" s="175"/>
      <c r="N4" s="175" t="s">
        <v>266</v>
      </c>
      <c r="O4" s="176" t="s">
        <v>281</v>
      </c>
    </row>
    <row r="5" spans="1:15" ht="21" customHeight="1" x14ac:dyDescent="0.2">
      <c r="A5" s="129">
        <v>3</v>
      </c>
      <c r="B5" s="131" t="s">
        <v>213</v>
      </c>
      <c r="C5" s="129" t="s">
        <v>206</v>
      </c>
      <c r="D5" s="131" t="s">
        <v>214</v>
      </c>
      <c r="E5" s="131" t="s">
        <v>215</v>
      </c>
      <c r="F5" s="131"/>
      <c r="H5" s="175"/>
      <c r="I5" s="175"/>
      <c r="J5" s="175"/>
      <c r="K5" s="175"/>
      <c r="L5" s="175"/>
      <c r="M5" s="175"/>
      <c r="N5" s="175"/>
      <c r="O5" s="176"/>
    </row>
    <row r="6" spans="1:15" ht="21" customHeight="1" x14ac:dyDescent="0.2">
      <c r="A6" s="129">
        <v>4</v>
      </c>
      <c r="B6" s="131" t="s">
        <v>216</v>
      </c>
      <c r="C6" s="129" t="s">
        <v>210</v>
      </c>
      <c r="D6" s="131" t="s">
        <v>217</v>
      </c>
      <c r="E6" s="131" t="s">
        <v>218</v>
      </c>
      <c r="F6" s="131"/>
      <c r="H6" s="145" t="s">
        <v>268</v>
      </c>
      <c r="I6" s="145" t="s">
        <v>267</v>
      </c>
      <c r="J6" s="146">
        <v>0.8</v>
      </c>
      <c r="K6" s="146">
        <v>0.75</v>
      </c>
      <c r="L6" s="148">
        <f t="shared" ref="L6:M9" si="0">$M$2 * J6</f>
        <v>2.2000000000000002</v>
      </c>
      <c r="M6" s="148">
        <f t="shared" si="0"/>
        <v>2.0625</v>
      </c>
      <c r="N6" s="144" t="s">
        <v>273</v>
      </c>
      <c r="O6" s="134" t="s">
        <v>274</v>
      </c>
    </row>
    <row r="7" spans="1:15" ht="21" customHeight="1" x14ac:dyDescent="0.2">
      <c r="A7" s="129">
        <v>5</v>
      </c>
      <c r="B7" s="131" t="s">
        <v>219</v>
      </c>
      <c r="C7" s="129" t="s">
        <v>210</v>
      </c>
      <c r="D7" s="131" t="s">
        <v>220</v>
      </c>
      <c r="E7" s="131" t="s">
        <v>221</v>
      </c>
      <c r="F7" s="131"/>
      <c r="H7" s="145" t="s">
        <v>283</v>
      </c>
      <c r="I7" s="145" t="s">
        <v>268</v>
      </c>
      <c r="J7" s="146">
        <v>0.7</v>
      </c>
      <c r="K7" s="146">
        <v>0.6</v>
      </c>
      <c r="L7" s="148">
        <f t="shared" si="0"/>
        <v>1.9249999999999998</v>
      </c>
      <c r="M7" s="148">
        <f t="shared" si="0"/>
        <v>1.65</v>
      </c>
      <c r="N7" s="144" t="s">
        <v>275</v>
      </c>
      <c r="O7" s="134" t="s">
        <v>276</v>
      </c>
    </row>
    <row r="8" spans="1:15" ht="21" customHeight="1" x14ac:dyDescent="0.2">
      <c r="A8" s="129">
        <v>6</v>
      </c>
      <c r="B8" s="131" t="s">
        <v>222</v>
      </c>
      <c r="C8" s="129" t="s">
        <v>210</v>
      </c>
      <c r="D8" s="131" t="s">
        <v>220</v>
      </c>
      <c r="E8" s="131" t="s">
        <v>223</v>
      </c>
      <c r="F8" s="131"/>
      <c r="H8" s="150" t="s">
        <v>284</v>
      </c>
      <c r="I8" s="150" t="s">
        <v>269</v>
      </c>
      <c r="J8" s="151">
        <v>0.5</v>
      </c>
      <c r="K8" s="151">
        <v>0.3</v>
      </c>
      <c r="L8" s="152">
        <f t="shared" si="0"/>
        <v>1.375</v>
      </c>
      <c r="M8" s="152">
        <f t="shared" si="0"/>
        <v>0.82499999999999996</v>
      </c>
      <c r="N8" s="153" t="s">
        <v>277</v>
      </c>
      <c r="O8" s="154" t="s">
        <v>278</v>
      </c>
    </row>
    <row r="9" spans="1:15" ht="21" customHeight="1" x14ac:dyDescent="0.2">
      <c r="A9" s="129">
        <v>7</v>
      </c>
      <c r="B9" s="131" t="s">
        <v>224</v>
      </c>
      <c r="C9" s="129" t="s">
        <v>206</v>
      </c>
      <c r="D9" s="131" t="s">
        <v>207</v>
      </c>
      <c r="E9" s="131" t="s">
        <v>225</v>
      </c>
      <c r="F9" s="131"/>
      <c r="H9" s="145" t="s">
        <v>285</v>
      </c>
      <c r="I9" s="145" t="s">
        <v>270</v>
      </c>
      <c r="J9" s="146">
        <v>0.2</v>
      </c>
      <c r="K9" s="146">
        <v>0</v>
      </c>
      <c r="L9" s="148">
        <f t="shared" si="0"/>
        <v>0.55000000000000004</v>
      </c>
      <c r="M9" s="148">
        <f t="shared" si="0"/>
        <v>0</v>
      </c>
      <c r="N9" s="144" t="s">
        <v>279</v>
      </c>
      <c r="O9" s="134" t="s">
        <v>280</v>
      </c>
    </row>
    <row r="10" spans="1:15" ht="21" customHeight="1" x14ac:dyDescent="0.2">
      <c r="A10" s="129">
        <v>8</v>
      </c>
      <c r="B10" s="131" t="s">
        <v>226</v>
      </c>
      <c r="C10" s="129" t="s">
        <v>206</v>
      </c>
      <c r="D10" s="131" t="s">
        <v>214</v>
      </c>
      <c r="E10" s="131" t="s">
        <v>227</v>
      </c>
      <c r="F10" s="131"/>
    </row>
    <row r="11" spans="1:15" ht="21" customHeight="1" x14ac:dyDescent="0.2">
      <c r="A11" s="129">
        <v>9</v>
      </c>
      <c r="B11" s="131" t="s">
        <v>228</v>
      </c>
      <c r="C11" s="129" t="s">
        <v>206</v>
      </c>
      <c r="D11" s="131" t="s">
        <v>232</v>
      </c>
      <c r="E11" s="131" t="s">
        <v>229</v>
      </c>
      <c r="F11" s="131"/>
      <c r="G11" s="133">
        <v>6992</v>
      </c>
      <c r="H11" s="155">
        <v>0.54166666666666663</v>
      </c>
      <c r="I11" s="155">
        <v>0.5</v>
      </c>
      <c r="J11" s="156">
        <f>L11/$M$2</f>
        <v>0.81818181818181823</v>
      </c>
      <c r="K11" s="156"/>
      <c r="L11" s="147">
        <v>2.25</v>
      </c>
      <c r="M11" s="148"/>
    </row>
    <row r="12" spans="1:15" ht="21" customHeight="1" x14ac:dyDescent="0.2">
      <c r="A12" s="129">
        <v>10</v>
      </c>
      <c r="B12" s="131" t="s">
        <v>230</v>
      </c>
      <c r="C12" s="129" t="s">
        <v>206</v>
      </c>
      <c r="D12" s="131" t="s">
        <v>232</v>
      </c>
      <c r="E12" s="131" t="s">
        <v>231</v>
      </c>
      <c r="F12" s="131"/>
      <c r="G12" s="133">
        <v>6997</v>
      </c>
      <c r="H12" s="155">
        <f>H11 + "00:15:00"</f>
        <v>0.55208333333333326</v>
      </c>
      <c r="I12" s="155">
        <f>H12 - "01:00:00"</f>
        <v>0.51041666666666663</v>
      </c>
      <c r="J12" s="156">
        <f>L12/$M$2</f>
        <v>0.67272727272727273</v>
      </c>
      <c r="K12" s="156"/>
      <c r="L12" s="147">
        <v>1.85</v>
      </c>
      <c r="M12" s="148"/>
    </row>
    <row r="13" spans="1:15" ht="21" customHeight="1" x14ac:dyDescent="0.2">
      <c r="G13" s="133">
        <v>6995</v>
      </c>
      <c r="H13" s="155">
        <f>H12 + "00:15:00"</f>
        <v>0.56249999999999989</v>
      </c>
      <c r="I13" s="155">
        <f>H13 - "01:00:00"</f>
        <v>0.52083333333333326</v>
      </c>
      <c r="J13" s="156">
        <f>L13/$M$2</f>
        <v>0.72</v>
      </c>
      <c r="K13" s="156"/>
      <c r="L13" s="147">
        <v>1.98</v>
      </c>
      <c r="M13" s="148"/>
      <c r="N13" s="132" t="s">
        <v>287</v>
      </c>
    </row>
    <row r="14" spans="1:15" ht="21" customHeight="1" x14ac:dyDescent="0.2">
      <c r="H14" s="155"/>
      <c r="I14" s="155"/>
      <c r="J14" s="156"/>
      <c r="K14" s="156"/>
      <c r="L14" s="147"/>
      <c r="M14" s="148"/>
    </row>
    <row r="15" spans="1:15" ht="21" customHeight="1" x14ac:dyDescent="0.2">
      <c r="B15" s="176" t="s">
        <v>233</v>
      </c>
      <c r="C15" s="176"/>
      <c r="D15" s="176"/>
      <c r="E15" s="176"/>
      <c r="F15" s="137"/>
      <c r="H15" s="155"/>
      <c r="I15" s="155"/>
      <c r="J15" s="156"/>
      <c r="K15" s="156"/>
      <c r="L15" s="147"/>
      <c r="M15" s="148"/>
    </row>
    <row r="16" spans="1:15" ht="21" customHeight="1" x14ac:dyDescent="0.2">
      <c r="H16" s="155"/>
      <c r="I16" s="155"/>
      <c r="J16" s="156"/>
      <c r="K16" s="156"/>
      <c r="L16" s="147"/>
      <c r="M16" s="148"/>
    </row>
    <row r="17" spans="2:12" ht="21" customHeight="1" x14ac:dyDescent="0.2">
      <c r="B17" s="177" t="s">
        <v>234</v>
      </c>
      <c r="C17" s="177"/>
      <c r="D17" s="177"/>
      <c r="E17" s="177"/>
      <c r="F17" s="135"/>
      <c r="H17" s="155"/>
      <c r="I17" s="155"/>
      <c r="J17" s="156"/>
      <c r="K17" s="156"/>
      <c r="L17" s="147"/>
    </row>
    <row r="18" spans="2:12" ht="21" customHeight="1" x14ac:dyDescent="0.2">
      <c r="B18" s="177" t="s">
        <v>235</v>
      </c>
      <c r="C18" s="177"/>
      <c r="D18" s="177"/>
      <c r="E18" s="177"/>
      <c r="F18" s="135"/>
      <c r="H18" s="155"/>
      <c r="I18" s="155"/>
      <c r="J18" s="156"/>
      <c r="K18" s="156"/>
      <c r="L18" s="147"/>
    </row>
    <row r="19" spans="2:12" ht="21" customHeight="1" x14ac:dyDescent="0.2">
      <c r="B19" s="135"/>
      <c r="H19" s="155"/>
      <c r="I19" s="155"/>
      <c r="J19" s="156"/>
      <c r="K19" s="156"/>
      <c r="L19" s="147"/>
    </row>
    <row r="20" spans="2:12" ht="21" customHeight="1" x14ac:dyDescent="0.2">
      <c r="B20" s="177" t="s">
        <v>236</v>
      </c>
      <c r="C20" s="177"/>
      <c r="D20" s="177"/>
      <c r="E20" s="177"/>
      <c r="F20" s="135"/>
      <c r="H20" s="155"/>
      <c r="I20" s="155"/>
      <c r="J20" s="156"/>
      <c r="K20" s="156"/>
      <c r="L20" s="147"/>
    </row>
    <row r="21" spans="2:12" ht="21" customHeight="1" x14ac:dyDescent="0.2">
      <c r="B21" s="135"/>
      <c r="H21" s="155"/>
      <c r="I21" s="155"/>
      <c r="J21" s="156"/>
      <c r="K21" s="156"/>
      <c r="L21" s="147"/>
    </row>
    <row r="22" spans="2:12" ht="21" customHeight="1" x14ac:dyDescent="0.2">
      <c r="B22" s="177" t="s">
        <v>237</v>
      </c>
      <c r="C22" s="177"/>
      <c r="D22" s="177"/>
      <c r="E22" s="177"/>
      <c r="F22" s="135"/>
      <c r="H22" s="155"/>
      <c r="I22" s="155"/>
      <c r="J22" s="156"/>
      <c r="K22" s="156"/>
      <c r="L22" s="147"/>
    </row>
    <row r="23" spans="2:12" ht="21" customHeight="1" x14ac:dyDescent="0.2">
      <c r="B23" s="177" t="s">
        <v>238</v>
      </c>
      <c r="C23" s="177"/>
      <c r="D23" s="177"/>
      <c r="E23" s="177"/>
      <c r="F23" s="135"/>
    </row>
    <row r="24" spans="2:12" ht="21" customHeight="1" x14ac:dyDescent="0.2">
      <c r="B24" s="177" t="s">
        <v>239</v>
      </c>
      <c r="C24" s="177"/>
      <c r="D24" s="177"/>
      <c r="E24" s="177"/>
      <c r="F24" s="135"/>
    </row>
    <row r="25" spans="2:12" ht="21" customHeight="1" x14ac:dyDescent="0.2">
      <c r="B25" s="177" t="s">
        <v>240</v>
      </c>
      <c r="C25" s="177"/>
      <c r="D25" s="177"/>
      <c r="E25" s="177"/>
      <c r="F25" s="135"/>
    </row>
    <row r="26" spans="2:12" ht="21" customHeight="1" x14ac:dyDescent="0.2">
      <c r="B26" s="135"/>
    </row>
    <row r="27" spans="2:12" ht="21" customHeight="1" x14ac:dyDescent="0.2">
      <c r="B27" s="177" t="s">
        <v>242</v>
      </c>
      <c r="C27" s="177"/>
      <c r="D27" s="177"/>
      <c r="E27" s="177"/>
      <c r="F27" s="135"/>
    </row>
    <row r="28" spans="2:12" ht="21" customHeight="1" x14ac:dyDescent="0.2">
      <c r="B28" s="177" t="s">
        <v>241</v>
      </c>
      <c r="C28" s="177"/>
      <c r="D28" s="177"/>
      <c r="E28" s="177"/>
      <c r="F28" s="135"/>
    </row>
    <row r="29" spans="2:12" ht="21" customHeight="1" x14ac:dyDescent="0.2">
      <c r="B29" s="136"/>
    </row>
  </sheetData>
  <mergeCells count="16">
    <mergeCell ref="B24:E24"/>
    <mergeCell ref="B25:E25"/>
    <mergeCell ref="B27:E27"/>
    <mergeCell ref="B28:E28"/>
    <mergeCell ref="B15:E15"/>
    <mergeCell ref="B17:E17"/>
    <mergeCell ref="B18:E18"/>
    <mergeCell ref="B20:E20"/>
    <mergeCell ref="B22:E22"/>
    <mergeCell ref="B23:E23"/>
    <mergeCell ref="H4:H5"/>
    <mergeCell ref="N4:N5"/>
    <mergeCell ref="O4:O5"/>
    <mergeCell ref="J4:K5"/>
    <mergeCell ref="I4:I5"/>
    <mergeCell ref="L4:M5"/>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A0C9C-5D22-864A-9435-F6466DDDC43B}">
  <dimension ref="B2:X31"/>
  <sheetViews>
    <sheetView zoomScale="120" zoomScaleNormal="120" workbookViewId="0">
      <selection activeCell="A30" sqref="A30"/>
    </sheetView>
  </sheetViews>
  <sheetFormatPr baseColWidth="10" defaultRowHeight="16" x14ac:dyDescent="0.2"/>
  <sheetData>
    <row r="2" spans="2:24" x14ac:dyDescent="0.2">
      <c r="B2" s="178" t="s">
        <v>22</v>
      </c>
      <c r="C2" s="179"/>
      <c r="D2" s="179"/>
      <c r="E2" s="179"/>
      <c r="F2" s="179"/>
      <c r="G2" s="179"/>
      <c r="H2" s="179"/>
      <c r="I2" s="179"/>
      <c r="J2" s="179"/>
      <c r="K2" s="179"/>
      <c r="L2" s="179"/>
      <c r="M2" s="179"/>
      <c r="N2" s="179"/>
      <c r="O2" s="179"/>
      <c r="P2" s="179"/>
      <c r="Q2" s="179"/>
      <c r="R2" s="179"/>
      <c r="S2" s="179"/>
      <c r="T2" s="179"/>
      <c r="U2" s="179"/>
      <c r="V2" s="179"/>
      <c r="W2" s="179"/>
      <c r="X2" s="179"/>
    </row>
    <row r="3" spans="2:24" x14ac:dyDescent="0.2">
      <c r="B3" s="179"/>
      <c r="C3" s="179"/>
      <c r="D3" s="179"/>
      <c r="E3" s="179"/>
      <c r="F3" s="179"/>
      <c r="G3" s="179"/>
      <c r="H3" s="179"/>
      <c r="I3" s="179"/>
      <c r="J3" s="179"/>
      <c r="K3" s="179"/>
      <c r="L3" s="179"/>
      <c r="M3" s="179"/>
      <c r="N3" s="179"/>
      <c r="O3" s="179"/>
      <c r="P3" s="179"/>
      <c r="Q3" s="179"/>
      <c r="R3" s="179"/>
      <c r="S3" s="179"/>
      <c r="T3" s="179"/>
      <c r="U3" s="179"/>
      <c r="V3" s="179"/>
      <c r="W3" s="179"/>
      <c r="X3" s="179"/>
    </row>
    <row r="4" spans="2:24" x14ac:dyDescent="0.2">
      <c r="B4" s="179"/>
      <c r="C4" s="179"/>
      <c r="D4" s="179"/>
      <c r="E4" s="179"/>
      <c r="F4" s="179"/>
      <c r="G4" s="179"/>
      <c r="H4" s="179"/>
      <c r="I4" s="179"/>
      <c r="J4" s="179"/>
      <c r="K4" s="179"/>
      <c r="L4" s="179"/>
      <c r="M4" s="179"/>
      <c r="N4" s="179"/>
      <c r="O4" s="179"/>
      <c r="P4" s="179"/>
      <c r="Q4" s="179"/>
      <c r="R4" s="179"/>
      <c r="S4" s="179"/>
      <c r="T4" s="179"/>
      <c r="U4" s="179"/>
      <c r="V4" s="179"/>
      <c r="W4" s="179"/>
      <c r="X4" s="179"/>
    </row>
    <row r="5" spans="2:24" x14ac:dyDescent="0.2">
      <c r="B5" s="179"/>
      <c r="C5" s="179"/>
      <c r="D5" s="179"/>
      <c r="E5" s="179"/>
      <c r="F5" s="179"/>
      <c r="G5" s="179"/>
      <c r="H5" s="179"/>
      <c r="I5" s="179"/>
      <c r="J5" s="179"/>
      <c r="K5" s="179"/>
      <c r="L5" s="179"/>
      <c r="M5" s="179"/>
      <c r="N5" s="179"/>
      <c r="O5" s="179"/>
      <c r="P5" s="179"/>
      <c r="Q5" s="179"/>
      <c r="R5" s="179"/>
      <c r="S5" s="179"/>
      <c r="T5" s="179"/>
      <c r="U5" s="179"/>
      <c r="V5" s="179"/>
      <c r="W5" s="179"/>
      <c r="X5" s="179"/>
    </row>
    <row r="6" spans="2:24" x14ac:dyDescent="0.2">
      <c r="B6" s="179"/>
      <c r="C6" s="179"/>
      <c r="D6" s="179"/>
      <c r="E6" s="179"/>
      <c r="F6" s="179"/>
      <c r="G6" s="179"/>
      <c r="H6" s="179"/>
      <c r="I6" s="179"/>
      <c r="J6" s="179"/>
      <c r="K6" s="179"/>
      <c r="L6" s="179"/>
      <c r="M6" s="179"/>
      <c r="N6" s="179"/>
      <c r="O6" s="179"/>
      <c r="P6" s="179"/>
      <c r="Q6" s="179"/>
      <c r="R6" s="179"/>
      <c r="S6" s="179"/>
      <c r="T6" s="179"/>
      <c r="U6" s="179"/>
      <c r="V6" s="179"/>
      <c r="W6" s="179"/>
      <c r="X6" s="179"/>
    </row>
    <row r="7" spans="2:24" x14ac:dyDescent="0.2">
      <c r="B7" s="179"/>
      <c r="C7" s="179"/>
      <c r="D7" s="179"/>
      <c r="E7" s="179"/>
      <c r="F7" s="179"/>
      <c r="G7" s="179"/>
      <c r="H7" s="179"/>
      <c r="I7" s="179"/>
      <c r="J7" s="179"/>
      <c r="K7" s="179"/>
      <c r="L7" s="179"/>
      <c r="M7" s="179"/>
      <c r="N7" s="179"/>
      <c r="O7" s="179"/>
      <c r="P7" s="179"/>
      <c r="Q7" s="179"/>
      <c r="R7" s="179"/>
      <c r="S7" s="179"/>
      <c r="T7" s="179"/>
      <c r="U7" s="179"/>
      <c r="V7" s="179"/>
      <c r="W7" s="179"/>
      <c r="X7" s="179"/>
    </row>
    <row r="8" spans="2:24" x14ac:dyDescent="0.2">
      <c r="B8" s="179"/>
      <c r="C8" s="179"/>
      <c r="D8" s="179"/>
      <c r="E8" s="179"/>
      <c r="F8" s="179"/>
      <c r="G8" s="179"/>
      <c r="H8" s="179"/>
      <c r="I8" s="179"/>
      <c r="J8" s="179"/>
      <c r="K8" s="179"/>
      <c r="L8" s="179"/>
      <c r="M8" s="179"/>
      <c r="N8" s="179"/>
      <c r="O8" s="179"/>
      <c r="P8" s="179"/>
      <c r="Q8" s="179"/>
      <c r="R8" s="179"/>
      <c r="S8" s="179"/>
      <c r="T8" s="179"/>
      <c r="U8" s="179"/>
      <c r="V8" s="179"/>
      <c r="W8" s="179"/>
      <c r="X8" s="179"/>
    </row>
    <row r="9" spans="2:24" x14ac:dyDescent="0.2">
      <c r="B9" s="179"/>
      <c r="C9" s="179"/>
      <c r="D9" s="179"/>
      <c r="E9" s="179"/>
      <c r="F9" s="179"/>
      <c r="G9" s="179"/>
      <c r="H9" s="179"/>
      <c r="I9" s="179"/>
      <c r="J9" s="179"/>
      <c r="K9" s="179"/>
      <c r="L9" s="179"/>
      <c r="M9" s="179"/>
      <c r="N9" s="179"/>
      <c r="O9" s="179"/>
      <c r="P9" s="179"/>
      <c r="Q9" s="179"/>
      <c r="R9" s="179"/>
      <c r="S9" s="179"/>
      <c r="T9" s="179"/>
      <c r="U9" s="179"/>
      <c r="V9" s="179"/>
      <c r="W9" s="179"/>
      <c r="X9" s="179"/>
    </row>
    <row r="10" spans="2:24" x14ac:dyDescent="0.2">
      <c r="B10" s="179"/>
      <c r="C10" s="179"/>
      <c r="D10" s="179"/>
      <c r="E10" s="179"/>
      <c r="F10" s="179"/>
      <c r="G10" s="179"/>
      <c r="H10" s="179"/>
      <c r="I10" s="179"/>
      <c r="J10" s="179"/>
      <c r="K10" s="179"/>
      <c r="L10" s="179"/>
      <c r="M10" s="179"/>
      <c r="N10" s="179"/>
      <c r="O10" s="179"/>
      <c r="P10" s="179"/>
      <c r="Q10" s="179"/>
      <c r="R10" s="179"/>
      <c r="S10" s="179"/>
      <c r="T10" s="179"/>
      <c r="U10" s="179"/>
      <c r="V10" s="179"/>
      <c r="W10" s="179"/>
      <c r="X10" s="179"/>
    </row>
    <row r="11" spans="2:24" x14ac:dyDescent="0.2">
      <c r="B11" s="179"/>
      <c r="C11" s="179"/>
      <c r="D11" s="179"/>
      <c r="E11" s="179"/>
      <c r="F11" s="179"/>
      <c r="G11" s="179"/>
      <c r="H11" s="179"/>
      <c r="I11" s="179"/>
      <c r="J11" s="179"/>
      <c r="K11" s="179"/>
      <c r="L11" s="179"/>
      <c r="M11" s="179"/>
      <c r="N11" s="179"/>
      <c r="O11" s="179"/>
      <c r="P11" s="179"/>
      <c r="Q11" s="179"/>
      <c r="R11" s="179"/>
      <c r="S11" s="179"/>
      <c r="T11" s="179"/>
      <c r="U11" s="179"/>
      <c r="V11" s="179"/>
      <c r="W11" s="179"/>
      <c r="X11" s="179"/>
    </row>
    <row r="12" spans="2:24" x14ac:dyDescent="0.2">
      <c r="B12" s="179"/>
      <c r="C12" s="179"/>
      <c r="D12" s="179"/>
      <c r="E12" s="179"/>
      <c r="F12" s="179"/>
      <c r="G12" s="179"/>
      <c r="H12" s="179"/>
      <c r="I12" s="179"/>
      <c r="J12" s="179"/>
      <c r="K12" s="179"/>
      <c r="L12" s="179"/>
      <c r="M12" s="179"/>
      <c r="N12" s="179"/>
      <c r="O12" s="179"/>
      <c r="P12" s="179"/>
      <c r="Q12" s="179"/>
      <c r="R12" s="179"/>
      <c r="S12" s="179"/>
      <c r="T12" s="179"/>
      <c r="U12" s="179"/>
      <c r="V12" s="179"/>
      <c r="W12" s="179"/>
      <c r="X12" s="179"/>
    </row>
    <row r="13" spans="2:24" x14ac:dyDescent="0.2">
      <c r="B13" s="179"/>
      <c r="C13" s="179"/>
      <c r="D13" s="179"/>
      <c r="E13" s="179"/>
      <c r="F13" s="179"/>
      <c r="G13" s="179"/>
      <c r="H13" s="179"/>
      <c r="I13" s="179"/>
      <c r="J13" s="179"/>
      <c r="K13" s="179"/>
      <c r="L13" s="179"/>
      <c r="M13" s="179"/>
      <c r="N13" s="179"/>
      <c r="O13" s="179"/>
      <c r="P13" s="179"/>
      <c r="Q13" s="179"/>
      <c r="R13" s="179"/>
      <c r="S13" s="179"/>
      <c r="T13" s="179"/>
      <c r="U13" s="179"/>
      <c r="V13" s="179"/>
      <c r="W13" s="179"/>
      <c r="X13" s="179"/>
    </row>
    <row r="14" spans="2:24" x14ac:dyDescent="0.2">
      <c r="B14" s="179"/>
      <c r="C14" s="179"/>
      <c r="D14" s="179"/>
      <c r="E14" s="179"/>
      <c r="F14" s="179"/>
      <c r="G14" s="179"/>
      <c r="H14" s="179"/>
      <c r="I14" s="179"/>
      <c r="J14" s="179"/>
      <c r="K14" s="179"/>
      <c r="L14" s="179"/>
      <c r="M14" s="179"/>
      <c r="N14" s="179"/>
      <c r="O14" s="179"/>
      <c r="P14" s="179"/>
      <c r="Q14" s="179"/>
      <c r="R14" s="179"/>
      <c r="S14" s="179"/>
      <c r="T14" s="179"/>
      <c r="U14" s="179"/>
      <c r="V14" s="179"/>
      <c r="W14" s="179"/>
      <c r="X14" s="179"/>
    </row>
    <row r="15" spans="2:24" x14ac:dyDescent="0.2">
      <c r="B15" s="179"/>
      <c r="C15" s="179"/>
      <c r="D15" s="179"/>
      <c r="E15" s="179"/>
      <c r="F15" s="179"/>
      <c r="G15" s="179"/>
      <c r="H15" s="179"/>
      <c r="I15" s="179"/>
      <c r="J15" s="179"/>
      <c r="K15" s="179"/>
      <c r="L15" s="179"/>
      <c r="M15" s="179"/>
      <c r="N15" s="179"/>
      <c r="O15" s="179"/>
      <c r="P15" s="179"/>
      <c r="Q15" s="179"/>
      <c r="R15" s="179"/>
      <c r="S15" s="179"/>
      <c r="T15" s="179"/>
      <c r="U15" s="179"/>
      <c r="V15" s="179"/>
      <c r="W15" s="179"/>
      <c r="X15" s="179"/>
    </row>
    <row r="16" spans="2:24" x14ac:dyDescent="0.2">
      <c r="B16" s="179"/>
      <c r="C16" s="179"/>
      <c r="D16" s="179"/>
      <c r="E16" s="179"/>
      <c r="F16" s="179"/>
      <c r="G16" s="179"/>
      <c r="H16" s="179"/>
      <c r="I16" s="179"/>
      <c r="J16" s="179"/>
      <c r="K16" s="179"/>
      <c r="L16" s="179"/>
      <c r="M16" s="179"/>
      <c r="N16" s="179"/>
      <c r="O16" s="179"/>
      <c r="P16" s="179"/>
      <c r="Q16" s="179"/>
      <c r="R16" s="179"/>
      <c r="S16" s="179"/>
      <c r="T16" s="179"/>
      <c r="U16" s="179"/>
      <c r="V16" s="179"/>
      <c r="W16" s="179"/>
      <c r="X16" s="179"/>
    </row>
    <row r="17" spans="2:24" x14ac:dyDescent="0.2">
      <c r="B17" s="179"/>
      <c r="C17" s="179"/>
      <c r="D17" s="179"/>
      <c r="E17" s="179"/>
      <c r="F17" s="179"/>
      <c r="G17" s="179"/>
      <c r="H17" s="179"/>
      <c r="I17" s="179"/>
      <c r="J17" s="179"/>
      <c r="K17" s="179"/>
      <c r="L17" s="179"/>
      <c r="M17" s="179"/>
      <c r="N17" s="179"/>
      <c r="O17" s="179"/>
      <c r="P17" s="179"/>
      <c r="Q17" s="179"/>
      <c r="R17" s="179"/>
      <c r="S17" s="179"/>
      <c r="T17" s="179"/>
      <c r="U17" s="179"/>
      <c r="V17" s="179"/>
      <c r="W17" s="179"/>
      <c r="X17" s="179"/>
    </row>
    <row r="18" spans="2:24" x14ac:dyDescent="0.2">
      <c r="B18" s="179"/>
      <c r="C18" s="179"/>
      <c r="D18" s="179"/>
      <c r="E18" s="179"/>
      <c r="F18" s="179"/>
      <c r="G18" s="179"/>
      <c r="H18" s="179"/>
      <c r="I18" s="179"/>
      <c r="J18" s="179"/>
      <c r="K18" s="179"/>
      <c r="L18" s="179"/>
      <c r="M18" s="179"/>
      <c r="N18" s="179"/>
      <c r="O18" s="179"/>
      <c r="P18" s="179"/>
      <c r="Q18" s="179"/>
      <c r="R18" s="179"/>
      <c r="S18" s="179"/>
      <c r="T18" s="179"/>
      <c r="U18" s="179"/>
      <c r="V18" s="179"/>
      <c r="W18" s="179"/>
      <c r="X18" s="179"/>
    </row>
    <row r="19" spans="2:24" x14ac:dyDescent="0.2">
      <c r="B19" s="179"/>
      <c r="C19" s="179"/>
      <c r="D19" s="179"/>
      <c r="E19" s="179"/>
      <c r="F19" s="179"/>
      <c r="G19" s="179"/>
      <c r="H19" s="179"/>
      <c r="I19" s="179"/>
      <c r="J19" s="179"/>
      <c r="K19" s="179"/>
      <c r="L19" s="179"/>
      <c r="M19" s="179"/>
      <c r="N19" s="179"/>
      <c r="O19" s="179"/>
      <c r="P19" s="179"/>
      <c r="Q19" s="179"/>
      <c r="R19" s="179"/>
      <c r="S19" s="179"/>
      <c r="T19" s="179"/>
      <c r="U19" s="179"/>
      <c r="V19" s="179"/>
      <c r="W19" s="179"/>
      <c r="X19" s="179"/>
    </row>
    <row r="20" spans="2:24" x14ac:dyDescent="0.2">
      <c r="B20" s="179"/>
      <c r="C20" s="179"/>
      <c r="D20" s="179"/>
      <c r="E20" s="179"/>
      <c r="F20" s="179"/>
      <c r="G20" s="179"/>
      <c r="H20" s="179"/>
      <c r="I20" s="179"/>
      <c r="J20" s="179"/>
      <c r="K20" s="179"/>
      <c r="L20" s="179"/>
      <c r="M20" s="179"/>
      <c r="N20" s="179"/>
      <c r="O20" s="179"/>
      <c r="P20" s="179"/>
      <c r="Q20" s="179"/>
      <c r="R20" s="179"/>
      <c r="S20" s="179"/>
      <c r="T20" s="179"/>
      <c r="U20" s="179"/>
      <c r="V20" s="179"/>
      <c r="W20" s="179"/>
      <c r="X20" s="179"/>
    </row>
    <row r="21" spans="2:24" x14ac:dyDescent="0.2">
      <c r="B21" s="179"/>
      <c r="C21" s="179"/>
      <c r="D21" s="179"/>
      <c r="E21" s="179"/>
      <c r="F21" s="179"/>
      <c r="G21" s="179"/>
      <c r="H21" s="179"/>
      <c r="I21" s="179"/>
      <c r="J21" s="179"/>
      <c r="K21" s="179"/>
      <c r="L21" s="179"/>
      <c r="M21" s="179"/>
      <c r="N21" s="179"/>
      <c r="O21" s="179"/>
      <c r="P21" s="179"/>
      <c r="Q21" s="179"/>
      <c r="R21" s="179"/>
      <c r="S21" s="179"/>
      <c r="T21" s="179"/>
      <c r="U21" s="179"/>
      <c r="V21" s="179"/>
      <c r="W21" s="179"/>
      <c r="X21" s="179"/>
    </row>
    <row r="22" spans="2:24" x14ac:dyDescent="0.2">
      <c r="B22" s="179"/>
      <c r="C22" s="179"/>
      <c r="D22" s="179"/>
      <c r="E22" s="179"/>
      <c r="F22" s="179"/>
      <c r="G22" s="179"/>
      <c r="H22" s="179"/>
      <c r="I22" s="179"/>
      <c r="J22" s="179"/>
      <c r="K22" s="179"/>
      <c r="L22" s="179"/>
      <c r="M22" s="179"/>
      <c r="N22" s="179"/>
      <c r="O22" s="179"/>
      <c r="P22" s="179"/>
      <c r="Q22" s="179"/>
      <c r="R22" s="179"/>
      <c r="S22" s="179"/>
      <c r="T22" s="179"/>
      <c r="U22" s="179"/>
      <c r="V22" s="179"/>
      <c r="W22" s="179"/>
      <c r="X22" s="179"/>
    </row>
    <row r="23" spans="2:24" x14ac:dyDescent="0.2">
      <c r="B23" s="179"/>
      <c r="C23" s="179"/>
      <c r="D23" s="179"/>
      <c r="E23" s="179"/>
      <c r="F23" s="179"/>
      <c r="G23" s="179"/>
      <c r="H23" s="179"/>
      <c r="I23" s="179"/>
      <c r="J23" s="179"/>
      <c r="K23" s="179"/>
      <c r="L23" s="179"/>
      <c r="M23" s="179"/>
      <c r="N23" s="179"/>
      <c r="O23" s="179"/>
      <c r="P23" s="179"/>
      <c r="Q23" s="179"/>
      <c r="R23" s="179"/>
      <c r="S23" s="179"/>
      <c r="T23" s="179"/>
      <c r="U23" s="179"/>
      <c r="V23" s="179"/>
      <c r="W23" s="179"/>
      <c r="X23" s="179"/>
    </row>
    <row r="24" spans="2:24" x14ac:dyDescent="0.2">
      <c r="B24" s="179"/>
      <c r="C24" s="179"/>
      <c r="D24" s="179"/>
      <c r="E24" s="179"/>
      <c r="F24" s="179"/>
      <c r="G24" s="179"/>
      <c r="H24" s="179"/>
      <c r="I24" s="179"/>
      <c r="J24" s="179"/>
      <c r="K24" s="179"/>
      <c r="L24" s="179"/>
      <c r="M24" s="179"/>
      <c r="N24" s="179"/>
      <c r="O24" s="179"/>
      <c r="P24" s="179"/>
      <c r="Q24" s="179"/>
      <c r="R24" s="179"/>
      <c r="S24" s="179"/>
      <c r="T24" s="179"/>
      <c r="U24" s="179"/>
      <c r="V24" s="179"/>
      <c r="W24" s="179"/>
      <c r="X24" s="179"/>
    </row>
    <row r="25" spans="2:24" x14ac:dyDescent="0.2">
      <c r="B25" s="179"/>
      <c r="C25" s="179"/>
      <c r="D25" s="179"/>
      <c r="E25" s="179"/>
      <c r="F25" s="179"/>
      <c r="G25" s="179"/>
      <c r="H25" s="179"/>
      <c r="I25" s="179"/>
      <c r="J25" s="179"/>
      <c r="K25" s="179"/>
      <c r="L25" s="179"/>
      <c r="M25" s="179"/>
      <c r="N25" s="179"/>
      <c r="O25" s="179"/>
      <c r="P25" s="179"/>
      <c r="Q25" s="179"/>
      <c r="R25" s="179"/>
      <c r="S25" s="179"/>
      <c r="T25" s="179"/>
      <c r="U25" s="179"/>
      <c r="V25" s="179"/>
      <c r="W25" s="179"/>
      <c r="X25" s="179"/>
    </row>
    <row r="26" spans="2:24" x14ac:dyDescent="0.2">
      <c r="B26" s="179"/>
      <c r="C26" s="179"/>
      <c r="D26" s="179"/>
      <c r="E26" s="179"/>
      <c r="F26" s="179"/>
      <c r="G26" s="179"/>
      <c r="H26" s="179"/>
      <c r="I26" s="179"/>
      <c r="J26" s="179"/>
      <c r="K26" s="179"/>
      <c r="L26" s="179"/>
      <c r="M26" s="179"/>
      <c r="N26" s="179"/>
      <c r="O26" s="179"/>
      <c r="P26" s="179"/>
      <c r="Q26" s="179"/>
      <c r="R26" s="179"/>
      <c r="S26" s="179"/>
      <c r="T26" s="179"/>
      <c r="U26" s="179"/>
      <c r="V26" s="179"/>
      <c r="W26" s="179"/>
      <c r="X26" s="179"/>
    </row>
    <row r="27" spans="2:24" x14ac:dyDescent="0.2">
      <c r="B27" s="179"/>
      <c r="C27" s="179"/>
      <c r="D27" s="179"/>
      <c r="E27" s="179"/>
      <c r="F27" s="179"/>
      <c r="G27" s="179"/>
      <c r="H27" s="179"/>
      <c r="I27" s="179"/>
      <c r="J27" s="179"/>
      <c r="K27" s="179"/>
      <c r="L27" s="179"/>
      <c r="M27" s="179"/>
      <c r="N27" s="179"/>
      <c r="O27" s="179"/>
      <c r="P27" s="179"/>
      <c r="Q27" s="179"/>
      <c r="R27" s="179"/>
      <c r="S27" s="179"/>
      <c r="T27" s="179"/>
      <c r="U27" s="179"/>
      <c r="V27" s="179"/>
      <c r="W27" s="179"/>
      <c r="X27" s="179"/>
    </row>
    <row r="28" spans="2:24" x14ac:dyDescent="0.2">
      <c r="B28" s="179"/>
      <c r="C28" s="179"/>
      <c r="D28" s="179"/>
      <c r="E28" s="179"/>
      <c r="F28" s="179"/>
      <c r="G28" s="179"/>
      <c r="H28" s="179"/>
      <c r="I28" s="179"/>
      <c r="J28" s="179"/>
      <c r="K28" s="179"/>
      <c r="L28" s="179"/>
      <c r="M28" s="179"/>
      <c r="N28" s="179"/>
      <c r="O28" s="179"/>
      <c r="P28" s="179"/>
      <c r="Q28" s="179"/>
      <c r="R28" s="179"/>
      <c r="S28" s="179"/>
      <c r="T28" s="179"/>
      <c r="U28" s="179"/>
      <c r="V28" s="179"/>
      <c r="W28" s="179"/>
      <c r="X28" s="179"/>
    </row>
    <row r="29" spans="2:24" x14ac:dyDescent="0.2">
      <c r="B29" s="179"/>
      <c r="C29" s="179"/>
      <c r="D29" s="179"/>
      <c r="E29" s="179"/>
      <c r="F29" s="179"/>
      <c r="G29" s="179"/>
      <c r="H29" s="179"/>
      <c r="I29" s="179"/>
      <c r="J29" s="179"/>
      <c r="K29" s="179"/>
      <c r="L29" s="179"/>
      <c r="M29" s="179"/>
      <c r="N29" s="179"/>
      <c r="O29" s="179"/>
      <c r="P29" s="179"/>
      <c r="Q29" s="179"/>
      <c r="R29" s="179"/>
      <c r="S29" s="179"/>
      <c r="T29" s="179"/>
      <c r="U29" s="179"/>
      <c r="V29" s="179"/>
      <c r="W29" s="179"/>
      <c r="X29" s="179"/>
    </row>
    <row r="30" spans="2:24" x14ac:dyDescent="0.2">
      <c r="B30" s="179"/>
      <c r="C30" s="179"/>
      <c r="D30" s="179"/>
      <c r="E30" s="179"/>
      <c r="F30" s="179"/>
      <c r="G30" s="179"/>
      <c r="H30" s="179"/>
      <c r="I30" s="179"/>
      <c r="J30" s="179"/>
      <c r="K30" s="179"/>
      <c r="L30" s="179"/>
      <c r="M30" s="179"/>
      <c r="N30" s="179"/>
      <c r="O30" s="179"/>
      <c r="P30" s="179"/>
      <c r="Q30" s="179"/>
      <c r="R30" s="179"/>
      <c r="S30" s="179"/>
      <c r="T30" s="179"/>
      <c r="U30" s="179"/>
      <c r="V30" s="179"/>
      <c r="W30" s="179"/>
      <c r="X30" s="179"/>
    </row>
    <row r="31" spans="2:24" x14ac:dyDescent="0.2">
      <c r="B31" s="179"/>
      <c r="C31" s="179"/>
      <c r="D31" s="179"/>
      <c r="E31" s="179"/>
      <c r="F31" s="179"/>
      <c r="G31" s="179"/>
      <c r="H31" s="179"/>
      <c r="I31" s="179"/>
      <c r="J31" s="179"/>
      <c r="K31" s="179"/>
      <c r="L31" s="179"/>
      <c r="M31" s="179"/>
      <c r="N31" s="179"/>
      <c r="O31" s="179"/>
      <c r="P31" s="179"/>
      <c r="Q31" s="179"/>
      <c r="R31" s="179"/>
      <c r="S31" s="179"/>
      <c r="T31" s="179"/>
      <c r="U31" s="179"/>
      <c r="V31" s="179"/>
      <c r="W31" s="179"/>
      <c r="X31" s="179"/>
    </row>
  </sheetData>
  <mergeCells count="1">
    <mergeCell ref="B2:X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DCF84-F014-DF49-BAAB-7C092AB75DA8}">
  <dimension ref="A1:AG33"/>
  <sheetViews>
    <sheetView zoomScale="130" zoomScaleNormal="130" workbookViewId="0">
      <selection activeCell="O2" sqref="O2:O11"/>
    </sheetView>
  </sheetViews>
  <sheetFormatPr baseColWidth="10" defaultColWidth="12.83203125" defaultRowHeight="16" x14ac:dyDescent="0.2"/>
  <cols>
    <col min="1" max="1" width="17.83203125" style="103" customWidth="1"/>
    <col min="2" max="3" width="12.83203125" style="51" customWidth="1"/>
    <col min="4" max="4" width="12.83203125" style="49" customWidth="1"/>
    <col min="5" max="5" width="13.33203125" style="49" customWidth="1"/>
    <col min="6" max="6" width="12.83203125" style="51" customWidth="1"/>
    <col min="7" max="7" width="12.83203125" style="49" customWidth="1"/>
    <col min="8" max="8" width="13.5" style="51" customWidth="1"/>
    <col min="9" max="9" width="12.83203125" style="50" customWidth="1"/>
    <col min="10" max="10" width="14.1640625" style="104" customWidth="1"/>
    <col min="11" max="11" width="12.83203125" style="104" customWidth="1"/>
    <col min="12" max="12" width="14.83203125" style="50" customWidth="1"/>
    <col min="13" max="13" width="12.6640625" style="60" customWidth="1"/>
    <col min="14" max="15" width="12.83203125" style="51" customWidth="1"/>
    <col min="16" max="17" width="10.83203125" style="49" customWidth="1"/>
    <col min="18" max="32" width="12.83203125" style="49" customWidth="1"/>
    <col min="33" max="16384" width="12.83203125" style="49"/>
  </cols>
  <sheetData>
    <row r="1" spans="1:33" x14ac:dyDescent="0.2">
      <c r="A1" s="102" t="s">
        <v>27</v>
      </c>
      <c r="B1" s="53" t="s">
        <v>26</v>
      </c>
      <c r="C1" s="53" t="s">
        <v>25</v>
      </c>
      <c r="D1" s="52" t="s">
        <v>28</v>
      </c>
      <c r="E1" s="52" t="s">
        <v>29</v>
      </c>
      <c r="F1" s="53" t="s">
        <v>33</v>
      </c>
      <c r="G1" s="52" t="s">
        <v>24</v>
      </c>
      <c r="H1" s="53" t="s">
        <v>31</v>
      </c>
      <c r="I1" s="62" t="s">
        <v>30</v>
      </c>
      <c r="J1" s="105" t="s">
        <v>13</v>
      </c>
      <c r="K1" s="105" t="s">
        <v>34</v>
      </c>
      <c r="L1" s="62" t="s">
        <v>32</v>
      </c>
      <c r="M1" s="106" t="s">
        <v>35</v>
      </c>
      <c r="N1" s="53" t="s">
        <v>38</v>
      </c>
      <c r="O1" s="53" t="s">
        <v>37</v>
      </c>
    </row>
    <row r="2" spans="1:33" x14ac:dyDescent="0.2">
      <c r="A2" s="103">
        <v>46105</v>
      </c>
      <c r="B2" s="51">
        <v>0</v>
      </c>
      <c r="C2" s="50" t="s">
        <v>18</v>
      </c>
      <c r="D2" s="50" t="s">
        <v>18</v>
      </c>
      <c r="E2" s="50" t="s">
        <v>18</v>
      </c>
      <c r="F2" s="50" t="s">
        <v>18</v>
      </c>
      <c r="G2" s="50" t="s">
        <v>18</v>
      </c>
      <c r="H2" s="50" t="s">
        <v>18</v>
      </c>
      <c r="I2" s="50" t="s">
        <v>18</v>
      </c>
      <c r="J2" s="110">
        <v>0</v>
      </c>
      <c r="K2" s="110">
        <f>SUM( J$2:J2 )</f>
        <v>0</v>
      </c>
      <c r="L2" s="60" t="str">
        <f>IFERROR( SUM( J$2:J2 ) / SUM( G$2:G2 ), "-" )</f>
        <v>-</v>
      </c>
      <c r="M2" s="60" t="str">
        <f>IFERROR( COUNTIF( J$2:J2, "&gt;0") / COUNTIF( C$2:C2, "&gt;0"), "-" )</f>
        <v>-</v>
      </c>
      <c r="N2" s="51">
        <v>0</v>
      </c>
      <c r="O2" s="51">
        <v>20506.740000000002</v>
      </c>
    </row>
    <row r="3" spans="1:33" x14ac:dyDescent="0.2">
      <c r="A3" s="103">
        <f t="shared" ref="A3:A5" si="0">IF( WEEKDAY( A2 ) = 6, 3, 1 ) + A2</f>
        <v>46106</v>
      </c>
      <c r="B3" s="51">
        <f>B2 - N2 + O2 + J2</f>
        <v>20506.740000000002</v>
      </c>
      <c r="C3" s="51" cm="1">
        <f t="array" aca="1" ref="C3" ca="1">INDIRECT( ADDRESS( 19, MATCH( $A3,  OPERAÇÕES!$2:$2, 0 ) + 1,,, "OPERAÇÕES" ) )</f>
        <v>5.75</v>
      </c>
      <c r="D3" s="49" cm="1">
        <f t="array" aca="1" ref="D3" ca="1">INDIRECT( ADDRESS( 19, MATCH( $A3,  OPERAÇÕES!$2:$2, 0 ),,, "OPERAÇÕES" ) )</f>
        <v>40</v>
      </c>
      <c r="E3" s="49" cm="1">
        <f t="array" aca="1" ref="E3" ca="1">INDIRECT( ADDRESS( 21, MATCH( $A3,  OPERAÇÕES!$2:$2, 0 ) + 1,,, "OPERAÇÕES" ) )</f>
        <v>2</v>
      </c>
      <c r="F3" s="51">
        <f ca="1">E3 * 100 * D3 - G3</f>
        <v>6850</v>
      </c>
      <c r="G3" s="51">
        <f ca="1">C3 * E3 * 100</f>
        <v>1150</v>
      </c>
      <c r="H3" s="51">
        <f ca="1">G3 * 2</f>
        <v>2300</v>
      </c>
      <c r="I3" s="50">
        <f ca="1">H3/B3</f>
        <v>0.11215824650822119</v>
      </c>
      <c r="J3" s="110" cm="1">
        <f t="array" aca="1" ref="J3" ca="1">INDIRECT( ADDRESS( 26, MATCH( $A3,  OPERAÇÕES!$2:$2, 0 ) + 2,,, "OPERAÇÕES" ) )</f>
        <v>1040</v>
      </c>
      <c r="K3" s="110">
        <f ca="1">SUM( J$2:J3 )</f>
        <v>1040</v>
      </c>
      <c r="L3" s="60">
        <f ca="1">IFERROR( SUM( J$2:J3 ) / SUM( G$2:G3 ), "-" )</f>
        <v>0.90434782608695652</v>
      </c>
      <c r="M3" s="60">
        <f ca="1">IFERROR( COUNTIF( J$2:J3, "&gt;0") / COUNTIF( C$2:C3, "&gt;0"), "-" )</f>
        <v>1</v>
      </c>
      <c r="N3" s="115">
        <v>19.64</v>
      </c>
      <c r="O3" s="51">
        <v>0</v>
      </c>
      <c r="R3" s="48">
        <f>20017+14064.44</f>
        <v>34081.440000000002</v>
      </c>
      <c r="S3" s="48">
        <f>R3/70%</f>
        <v>48687.771428571432</v>
      </c>
      <c r="T3" s="48"/>
      <c r="U3" s="48"/>
      <c r="V3" s="48"/>
    </row>
    <row r="4" spans="1:33" x14ac:dyDescent="0.2">
      <c r="A4" s="103">
        <f t="shared" si="0"/>
        <v>46107</v>
      </c>
      <c r="B4" s="51">
        <f ca="1">B3 - N3 + O3 + J3</f>
        <v>21527.100000000002</v>
      </c>
      <c r="C4" s="51" cm="1">
        <f t="array" aca="1" ref="C4" ca="1">INDIRECT( ADDRESS( 19, MATCH( $A4,  OPERAÇÕES!$2:$2, 0 ) + 1,,, "OPERAÇÕES" ) )</f>
        <v>4.5</v>
      </c>
      <c r="D4" s="49" cm="1">
        <f t="array" aca="1" ref="D4" ca="1">INDIRECT( ADDRESS( 19, MATCH( $A4,  OPERAÇÕES!$2:$2, 0 ),,, "OPERAÇÕES" ) )</f>
        <v>45</v>
      </c>
      <c r="E4" s="49" cm="1">
        <f t="array" aca="1" ref="E4" ca="1">INDIRECT( ADDRESS( 21, MATCH( $A4,  OPERAÇÕES!$2:$2, 0 ) + 1,,, "OPERAÇÕES" ) )</f>
        <v>2</v>
      </c>
      <c r="F4" s="51">
        <f ca="1">E4 * 100 * D4 - G4</f>
        <v>8100</v>
      </c>
      <c r="G4" s="51">
        <f ca="1">C4 * E4 * 100</f>
        <v>900</v>
      </c>
      <c r="H4" s="51">
        <f ca="1">G4 * 2</f>
        <v>1800</v>
      </c>
      <c r="I4" s="50">
        <f ca="1">H4/B4</f>
        <v>8.3615535766545415E-2</v>
      </c>
      <c r="J4" s="110" cm="1">
        <f t="array" aca="1" ref="J4" ca="1">INDIRECT( ADDRESS( 26, MATCH( $A4,  OPERAÇÕES!$2:$2, 0 ) + 2,,, "OPERAÇÕES" ) )</f>
        <v>-1510</v>
      </c>
      <c r="K4" s="110">
        <f ca="1">SUM( J$2:J4 )</f>
        <v>-470</v>
      </c>
      <c r="L4" s="60">
        <f ca="1">IFERROR( SUM( J$2:J4 ) / SUM( G$2:G4 ), "-" )</f>
        <v>-0.22926829268292684</v>
      </c>
      <c r="M4" s="60">
        <f ca="1">IFERROR( COUNTIF( J$2:J4, "&gt;0") / COUNTIF( C$2:C4, "&gt;0"), "-" )</f>
        <v>0.5</v>
      </c>
      <c r="N4" s="115">
        <v>16.669999999999998</v>
      </c>
      <c r="O4" s="51">
        <v>0</v>
      </c>
      <c r="R4" s="51">
        <v>5.2069000000000001</v>
      </c>
      <c r="S4" s="51">
        <v>5.2069000000000001</v>
      </c>
      <c r="T4" s="51"/>
      <c r="U4" s="51"/>
      <c r="V4" s="51"/>
    </row>
    <row r="5" spans="1:33" x14ac:dyDescent="0.2">
      <c r="A5" s="103">
        <f t="shared" si="0"/>
        <v>46108</v>
      </c>
      <c r="B5" s="51">
        <f ca="1">B4 - N4 + O4 + J4</f>
        <v>20000.430000000004</v>
      </c>
      <c r="C5" s="51" cm="1">
        <f t="array" aca="1" ref="C5" ca="1">INDIRECT( ADDRESS( 19, MATCH( $A5,  OPERAÇÕES!$2:$2, 0 ) + 1,,, "OPERAÇÕES" ) )</f>
        <v>3.5999999999999996</v>
      </c>
      <c r="D5" s="49" cm="1">
        <f t="array" aca="1" ref="D5" ca="1">INDIRECT( ADDRESS( 19, MATCH( $A5,  OPERAÇÕES!$2:$2, 0 ),,, "OPERAÇÕES" ) )</f>
        <v>40</v>
      </c>
      <c r="E5" s="49" cm="1">
        <f t="array" aca="1" ref="E5" ca="1">INDIRECT( ADDRESS( 21, MATCH( $A5,  OPERAÇÕES!$2:$2, 0 ) + 1,,, "OPERAÇÕES" ) )</f>
        <v>2</v>
      </c>
      <c r="F5" s="51">
        <f ca="1">E5 * 100 * D5 - G5</f>
        <v>7280</v>
      </c>
      <c r="G5" s="51">
        <f ca="1">C5 * E5 * 100</f>
        <v>719.99999999999989</v>
      </c>
      <c r="H5" s="51">
        <f ca="1">G5 * 2</f>
        <v>1439.9999999999998</v>
      </c>
      <c r="I5" s="50">
        <f ca="1">H5/B5</f>
        <v>7.1998452033281257E-2</v>
      </c>
      <c r="J5" s="110" cm="1">
        <f t="array" aca="1" ref="J5" ca="1">INDIRECT( ADDRESS( 26, MATCH( $A5,  OPERAÇÕES!$2:$2, 0 ) + 2,,, "OPERAÇÕES" ) )</f>
        <v>40</v>
      </c>
      <c r="K5" s="110">
        <f ca="1">SUM( J$2:J5 )</f>
        <v>-430</v>
      </c>
      <c r="L5" s="60">
        <f ca="1">IFERROR( SUM( J$2:J5 ) / SUM( G$2:G5 ), "-" )</f>
        <v>-0.1552346570397112</v>
      </c>
      <c r="M5" s="60">
        <f ca="1">IFERROR( COUNTIF( J$2:J5, "&gt;0") / COUNTIF( C$2:C5, "&gt;0"), "-" )</f>
        <v>0.66666666666666663</v>
      </c>
      <c r="N5" s="115">
        <v>19.610000000000003</v>
      </c>
      <c r="O5" s="51">
        <v>0</v>
      </c>
      <c r="R5" s="51">
        <f>ROUND( R3/R4, 2 )</f>
        <v>6545.44</v>
      </c>
      <c r="S5" s="51">
        <f>ROUND( S3/S4, 2 )</f>
        <v>9350.6299999999992</v>
      </c>
      <c r="T5" s="51"/>
      <c r="U5" s="51"/>
      <c r="V5" s="51"/>
    </row>
    <row r="6" spans="1:33" x14ac:dyDescent="0.2">
      <c r="A6" s="103">
        <f>IF( WEEKDAY( A5 ) = 6, 3, 1 ) + A5</f>
        <v>46111</v>
      </c>
      <c r="B6" s="51">
        <f ca="1">B5 - N5 + O5 + J5</f>
        <v>20020.820000000003</v>
      </c>
      <c r="C6" s="50" t="s">
        <v>18</v>
      </c>
      <c r="D6" s="50" t="s">
        <v>18</v>
      </c>
      <c r="E6" s="50" t="s">
        <v>18</v>
      </c>
      <c r="F6" s="50" t="s">
        <v>18</v>
      </c>
      <c r="G6" s="50" t="s">
        <v>18</v>
      </c>
      <c r="H6" s="50" t="s">
        <v>18</v>
      </c>
      <c r="I6" s="50" t="s">
        <v>18</v>
      </c>
      <c r="J6" s="110">
        <v>0</v>
      </c>
      <c r="K6" s="110">
        <v>0</v>
      </c>
      <c r="L6" s="60">
        <f ca="1">IFERROR( SUM( J$2:J6 ) / SUM( G$2:G6 ), "-" )</f>
        <v>-0.1552346570397112</v>
      </c>
      <c r="M6" s="60">
        <f ca="1">IFERROR( COUNTIF( J$2:J6, "&gt;0") / COUNTIF( C$2:C6, "&gt;0"), "-" )</f>
        <v>0.66666666666666663</v>
      </c>
      <c r="N6" s="51">
        <v>0</v>
      </c>
      <c r="O6" s="51">
        <v>7030.41</v>
      </c>
      <c r="P6" s="51"/>
      <c r="Q6" s="51"/>
      <c r="R6" s="51">
        <v>700</v>
      </c>
      <c r="S6" s="51">
        <v>1100</v>
      </c>
      <c r="T6" s="51"/>
      <c r="U6" s="51"/>
      <c r="V6" s="51"/>
    </row>
    <row r="7" spans="1:33" x14ac:dyDescent="0.2">
      <c r="A7" s="103">
        <f t="shared" ref="A7:A15" si="1">IF( WEEKDAY( A6 ) = 6, 3, 1 ) + A6</f>
        <v>46112</v>
      </c>
      <c r="B7" s="51">
        <f t="shared" ref="B7:B12" ca="1" si="2">B6 - N6 + O6 + J6</f>
        <v>27051.230000000003</v>
      </c>
      <c r="C7" s="50" t="s">
        <v>18</v>
      </c>
      <c r="D7" s="50" t="s">
        <v>18</v>
      </c>
      <c r="E7" s="50" t="s">
        <v>18</v>
      </c>
      <c r="F7" s="50" t="s">
        <v>18</v>
      </c>
      <c r="G7" s="50" t="s">
        <v>18</v>
      </c>
      <c r="H7" s="50" t="s">
        <v>18</v>
      </c>
      <c r="I7" s="50" t="s">
        <v>18</v>
      </c>
      <c r="J7" s="110">
        <v>0</v>
      </c>
      <c r="K7" s="110">
        <v>0</v>
      </c>
      <c r="L7" s="60">
        <f ca="1">IFERROR( SUM( J$2:J7 ) / SUM( G$2:G7 ), "-" )</f>
        <v>-0.1552346570397112</v>
      </c>
      <c r="M7" s="60">
        <f ca="1">IFERROR( COUNTIF( J$2:J7, "&gt;0") / COUNTIF( C$2:C7, "&gt;0"), "-" )</f>
        <v>0.66666666666666663</v>
      </c>
      <c r="N7" s="51">
        <v>0</v>
      </c>
      <c r="O7" s="51">
        <v>0</v>
      </c>
      <c r="R7" s="61">
        <f>R5/R6</f>
        <v>9.3506285714285706</v>
      </c>
      <c r="S7" s="61">
        <f>S5/S6</f>
        <v>8.5005727272727274</v>
      </c>
      <c r="T7" s="61"/>
      <c r="U7" s="61"/>
      <c r="V7" s="61"/>
    </row>
    <row r="8" spans="1:33" x14ac:dyDescent="0.2">
      <c r="A8" s="103">
        <f t="shared" si="1"/>
        <v>46113</v>
      </c>
      <c r="B8" s="51">
        <f t="shared" ca="1" si="2"/>
        <v>27051.230000000003</v>
      </c>
      <c r="C8" s="50" t="s">
        <v>18</v>
      </c>
      <c r="D8" s="50" t="s">
        <v>18</v>
      </c>
      <c r="E8" s="50" t="s">
        <v>18</v>
      </c>
      <c r="F8" s="50" t="s">
        <v>18</v>
      </c>
      <c r="G8" s="50" t="s">
        <v>18</v>
      </c>
      <c r="H8" s="50" t="s">
        <v>18</v>
      </c>
      <c r="I8" s="50" t="s">
        <v>18</v>
      </c>
      <c r="J8" s="110">
        <v>0</v>
      </c>
      <c r="K8" s="110">
        <v>0</v>
      </c>
      <c r="L8" s="60">
        <f ca="1">IFERROR( SUM( J$2:J8 ) / SUM( G$2:G8 ), "-" )</f>
        <v>-0.1552346570397112</v>
      </c>
      <c r="M8" s="60">
        <f ca="1">IFERROR( COUNTIF( J$2:J8, "&gt;0") / COUNTIF( C$2:C8, "&gt;0"), "-" )</f>
        <v>0.66666666666666663</v>
      </c>
      <c r="N8" s="51">
        <v>0</v>
      </c>
      <c r="O8" s="51">
        <v>0</v>
      </c>
    </row>
    <row r="9" spans="1:33" x14ac:dyDescent="0.2">
      <c r="A9" s="103">
        <f t="shared" si="1"/>
        <v>46114</v>
      </c>
      <c r="B9" s="51">
        <f t="shared" ca="1" si="2"/>
        <v>27051.230000000003</v>
      </c>
      <c r="C9" s="50" t="s">
        <v>18</v>
      </c>
      <c r="D9" s="50" t="s">
        <v>18</v>
      </c>
      <c r="E9" s="50" t="s">
        <v>18</v>
      </c>
      <c r="F9" s="50" t="s">
        <v>18</v>
      </c>
      <c r="G9" s="50" t="s">
        <v>18</v>
      </c>
      <c r="H9" s="50" t="s">
        <v>18</v>
      </c>
      <c r="I9" s="50" t="s">
        <v>18</v>
      </c>
      <c r="J9" s="110">
        <v>0</v>
      </c>
      <c r="K9" s="110">
        <v>0</v>
      </c>
      <c r="L9" s="60">
        <f ca="1">IFERROR( SUM( J$2:J9 ) / SUM( G$2:G9 ), "-" )</f>
        <v>-0.1552346570397112</v>
      </c>
      <c r="M9" s="60">
        <f ca="1">IFERROR( COUNTIF( J$2:J9, "&gt;0") / COUNTIF( C$2:C9, "&gt;0"), "-" )</f>
        <v>0.66666666666666663</v>
      </c>
      <c r="N9" s="51">
        <v>0</v>
      </c>
      <c r="O9" s="51">
        <v>0</v>
      </c>
    </row>
    <row r="10" spans="1:33" x14ac:dyDescent="0.2">
      <c r="A10" s="103">
        <f t="shared" si="1"/>
        <v>46115</v>
      </c>
      <c r="B10" s="51">
        <f t="shared" ca="1" si="2"/>
        <v>27051.230000000003</v>
      </c>
      <c r="C10" s="50" t="s">
        <v>18</v>
      </c>
      <c r="D10" s="50" t="s">
        <v>18</v>
      </c>
      <c r="E10" s="50" t="s">
        <v>18</v>
      </c>
      <c r="F10" s="50" t="s">
        <v>18</v>
      </c>
      <c r="G10" s="50" t="s">
        <v>18</v>
      </c>
      <c r="H10" s="50" t="s">
        <v>18</v>
      </c>
      <c r="I10" s="50" t="s">
        <v>18</v>
      </c>
      <c r="J10" s="110">
        <v>0</v>
      </c>
      <c r="K10" s="110">
        <v>0</v>
      </c>
      <c r="L10" s="60">
        <f ca="1">IFERROR( SUM( J$2:J10 ) / SUM( G$2:G10 ), "-" )</f>
        <v>-0.1552346570397112</v>
      </c>
      <c r="M10" s="60">
        <f ca="1">IFERROR( COUNTIF( J$2:J10, "&gt;0") / COUNTIF( C$2:C10, "&gt;0"), "-" )</f>
        <v>0.66666666666666663</v>
      </c>
      <c r="N10" s="51">
        <v>0</v>
      </c>
      <c r="O10" s="51">
        <v>983.35</v>
      </c>
    </row>
    <row r="11" spans="1:33" ht="18" customHeight="1" x14ac:dyDescent="0.2">
      <c r="A11" s="103">
        <f t="shared" si="1"/>
        <v>46118</v>
      </c>
      <c r="B11" s="51">
        <f t="shared" ca="1" si="2"/>
        <v>28034.58</v>
      </c>
      <c r="C11" s="50" t="s">
        <v>18</v>
      </c>
      <c r="D11" s="50" t="s">
        <v>18</v>
      </c>
      <c r="E11" s="50" t="s">
        <v>18</v>
      </c>
      <c r="F11" s="50" t="s">
        <v>18</v>
      </c>
      <c r="G11" s="50" t="s">
        <v>18</v>
      </c>
      <c r="H11" s="50" t="s">
        <v>18</v>
      </c>
      <c r="I11" s="50" t="s">
        <v>18</v>
      </c>
      <c r="J11" s="110">
        <v>0</v>
      </c>
      <c r="K11" s="110">
        <v>0</v>
      </c>
      <c r="L11" s="60">
        <f ca="1">IFERROR( SUM( J$2:J11 ) / SUM( G$2:G11 ), "-" )</f>
        <v>-0.1552346570397112</v>
      </c>
      <c r="M11" s="60">
        <f ca="1">IFERROR( COUNTIF( J$2:J11, "&gt;0") / COUNTIF( C$2:C11, "&gt;0"), "-" )</f>
        <v>0.66666666666666663</v>
      </c>
      <c r="N11" s="51">
        <v>0</v>
      </c>
      <c r="O11" s="51">
        <v>0</v>
      </c>
      <c r="R11" s="52" t="s">
        <v>27</v>
      </c>
      <c r="S11" s="52" t="s">
        <v>49</v>
      </c>
      <c r="T11" s="52" t="s">
        <v>51</v>
      </c>
      <c r="U11" s="52" t="s">
        <v>50</v>
      </c>
      <c r="V11" s="52" t="s">
        <v>42</v>
      </c>
      <c r="W11" s="52" t="s">
        <v>40</v>
      </c>
      <c r="X11" s="52" t="s">
        <v>41</v>
      </c>
      <c r="Y11" s="52" t="s">
        <v>45</v>
      </c>
      <c r="Z11" s="52" t="s">
        <v>46</v>
      </c>
      <c r="AA11" s="52" t="s">
        <v>29</v>
      </c>
      <c r="AB11" s="52" t="s">
        <v>43</v>
      </c>
      <c r="AC11" s="52" t="s">
        <v>47</v>
      </c>
      <c r="AD11" s="52" t="s">
        <v>48</v>
      </c>
      <c r="AE11" s="52" t="s">
        <v>44</v>
      </c>
      <c r="AF11" s="52" t="s">
        <v>39</v>
      </c>
      <c r="AG11" s="52" t="s">
        <v>23</v>
      </c>
    </row>
    <row r="12" spans="1:33" x14ac:dyDescent="0.2">
      <c r="A12" s="103">
        <f t="shared" si="1"/>
        <v>46119</v>
      </c>
      <c r="B12" s="51">
        <f t="shared" ca="1" si="2"/>
        <v>28034.58</v>
      </c>
      <c r="C12" s="51" cm="1">
        <f t="array" aca="1" ref="C12" ca="1">INDIRECT( ADDRESS( 19, MATCH( $A12,  OPERAÇÕES!$2:$2, 0 ) + 1,,, "OPERAÇÕES" ) )</f>
        <v>5.3000000000000007</v>
      </c>
      <c r="D12" s="49" cm="1">
        <f t="array" aca="1" ref="D12" ca="1">INDIRECT( ADDRESS( 19, MATCH( $A12,  OPERAÇÕES!$2:$2, 0 ),,, "OPERAÇÕES" ) )</f>
        <v>40</v>
      </c>
      <c r="E12" s="49" cm="1">
        <f t="array" aca="1" ref="E12" ca="1">INDIRECT( ADDRESS( 21, MATCH( $A12,  OPERAÇÕES!$2:$2, 0 ) + 1,,, "OPERAÇÕES" ) )</f>
        <v>2</v>
      </c>
      <c r="F12" s="51">
        <f ca="1">E12 * 100 * D12 - G12</f>
        <v>6940</v>
      </c>
      <c r="G12" s="51">
        <f ca="1">C12 * E12 * 100</f>
        <v>1060.0000000000002</v>
      </c>
      <c r="H12" s="51">
        <f ca="1">G12 * 2</f>
        <v>2120.0000000000005</v>
      </c>
      <c r="I12" s="50">
        <f ca="1">H12/B12</f>
        <v>7.5620893910306491E-2</v>
      </c>
      <c r="J12" s="110" cm="1">
        <f t="array" aca="1" ref="J12" ca="1">INDIRECT( ADDRESS( 26, MATCH( $A12,  OPERAÇÕES!$2:$2, 0 ) + 2,,, "OPERAÇÕES" ) )</f>
        <v>710</v>
      </c>
      <c r="K12" s="110">
        <f ca="1">SUM( J$2:J12 )</f>
        <v>280</v>
      </c>
      <c r="L12" s="60">
        <f ca="1">IFERROR( SUM( J$2:J12 ) / SUM( G$2:G12 ), "-" )</f>
        <v>7.3107049608355096E-2</v>
      </c>
      <c r="M12" s="60">
        <f ca="1">IFERROR( COUNTIF( J$2:J12, "&gt;0") / COUNTIF( C$2:C12, "&gt;0"), "-" )</f>
        <v>0.75</v>
      </c>
      <c r="N12" s="115">
        <v>19.64</v>
      </c>
      <c r="O12" s="51">
        <v>0</v>
      </c>
      <c r="R12" s="109">
        <v>46082</v>
      </c>
      <c r="S12" s="110">
        <f>SUMIFS( Table2[[#All],[APORTE]], Table2[[#All],[DATA]], "&lt;" &amp; DATE( YEAR( $R12 + 32 ), MONTH( $R12 + 32 ), 1 ) )</f>
        <v>27537.15</v>
      </c>
      <c r="T12" s="110">
        <f ca="1">IF( _xlfn.MAXIFS( Table2[[#All],[DATA]], Table2[[#All],[DATA]], "&gt;="&amp; $R12, Table2[[#All],[DATA]], "&lt;" &amp; DATE( YEAR( $R12 + 32 ), MONTH( $R12 + 32 ), 1 )  ) &gt; 0, VLOOKUP( _xlfn.MAXIFS( Table2[[#All],[DATA]], Table2[[#All],[DATA]], "&gt;="&amp; $R12, Table2[[#All],[DATA]], "&lt;" &amp; DATE( YEAR( $R12 + 32 ), MONTH( $R12 + 32 ), 1 )  ), Table2[#All], MATCH( "WALLET", Table2[#Headers], 0 ), 0 ), "-" )</f>
        <v>27051.230000000003</v>
      </c>
      <c r="U12" s="111">
        <f ca="1">IFERROR( IF( T12 = 0, "-", T12/ S12 - 1 ), "-" )</f>
        <v>-1.7645980066927747E-2</v>
      </c>
      <c r="V12" s="49">
        <f ca="1">COUNTIFS( Table2[[#All],[CONTRATOS]], "&gt;"&amp; 0,  Table2[[#All],[DATA]], "&gt;="&amp; $R12, Table2[[#All],[DATA]], "&lt;" &amp; DATE( YEAR( $R12 + 32 ), MONTH( $R12 + 32 ), 1 ) )</f>
        <v>3</v>
      </c>
      <c r="W12" s="49">
        <f ca="1">COUNTIFS( Table2[[#All],[CONTRATOS]], "&gt;"&amp; 0,  Table2[[#All],[DATA]], "&gt;="&amp; $R12, Table2[[#All],[DATA]], "&lt;" &amp; DATE( YEAR( $R12 + 32 ), MONTH( $R12 + 32 ), 1 ), Table2[[#All],[RESULTADO]], "&gt;" &amp; 0 )</f>
        <v>2</v>
      </c>
      <c r="X12" s="49">
        <f ca="1">COUNTIFS( Table2[[#All],[CONTRATOS]], "&gt;"&amp; 0,  Table2[[#All],[DATA]], "&gt;="&amp; $R12, Table2[[#All],[DATA]], "&lt;" &amp; DATE( YEAR( $R12 + 32 ), MONTH( $R12 + 32 ), 1 ), Table2[[#All],[RESULTADO]], "&lt;" &amp; 0 )</f>
        <v>1</v>
      </c>
      <c r="Y12" s="50">
        <f ca="1">IFERROR( W12 / $V12, "-" )</f>
        <v>0.66666666666666663</v>
      </c>
      <c r="Z12" s="50">
        <f ca="1">IFERROR( X12 / $V12, "-" )</f>
        <v>0.33333333333333331</v>
      </c>
      <c r="AA12" s="49">
        <f ca="1">SUMIFS( Table2[[#All],[CONTRATOS]], Table2[[#All],[DATA]], "&gt;="&amp; $R12, Table2[[#All],[DATA]], "&lt;" &amp; DATE( YEAR( $R12 + 32 ), MONTH( $R12 + 32 ), 1 ) )</f>
        <v>6</v>
      </c>
      <c r="AB12" s="110">
        <f ca="1">SUMIFS( Table2[[#All],[RESULTADO]], Table2[[#All],[DATA]], "&gt;="&amp; $R12, Table2[[#All],[DATA]], "&lt;" &amp; DATE( YEAR( $R12 + 32 ), MONTH( $R12 + 32 ), 1 ) )</f>
        <v>-430</v>
      </c>
      <c r="AC12" s="110">
        <f ca="1">SUMIFS( Table2[[#All],[RESULTADO]], Table2[[#All],[DATA]], "&gt;="&amp; $R12, Table2[[#All],[DATA]], "&lt;" &amp; DATE( YEAR( $R12 + 32 ), MONTH( $R12 + 32 ), 1 ), Table2[[#All],[RESULTADO]], "&gt;" &amp; 0 ) / W12</f>
        <v>540</v>
      </c>
      <c r="AD12" s="110">
        <f ca="1">IFERROR( SUMIFS( Table2[[#All],[RESULTADO]], Table2[[#All],[DATA]], "&gt;="&amp; $R12, Table2[[#All],[DATA]], "&lt;" &amp; DATE( YEAR( $R12 + 32 ), MONTH( $R12 + 32 ), 1 ), Table2[[#All],[RESULTADO]], "&lt;" &amp; 0 ) / X12, "-" )</f>
        <v>-1510</v>
      </c>
      <c r="AE12" s="110">
        <f ca="1">IFERROR( SUMPRODUCT( Y12:Z12, AC12:AD12 ), "-" )</f>
        <v>-143.33333333333331</v>
      </c>
      <c r="AF12" s="110">
        <f ca="1">IFERROR( AB12/V12, "-" )</f>
        <v>-143.33333333333334</v>
      </c>
      <c r="AG12" s="114" t="str">
        <f ca="1">IFERROR( IF( $R$5 / AF12 &lt;= 0, "+99", $R$5 / AF12 ), "-" )</f>
        <v>+99</v>
      </c>
    </row>
    <row r="13" spans="1:33" x14ac:dyDescent="0.2">
      <c r="A13" s="103">
        <f t="shared" si="1"/>
        <v>46120</v>
      </c>
      <c r="B13" s="51">
        <f t="shared" ref="B13:B15" ca="1" si="3">B12 - N12 + O12 + J12</f>
        <v>28724.940000000002</v>
      </c>
      <c r="C13" s="51" cm="1">
        <f t="array" aca="1" ref="C13" ca="1">INDIRECT( ADDRESS( 19, MATCH( $A13,  OPERAÇÕES!$2:$2, 0 ) + 1,,, "OPERAÇÕES" ) )</f>
        <v>2.9</v>
      </c>
      <c r="D13" s="49" cm="1">
        <f t="array" aca="1" ref="D13" ca="1">INDIRECT( ADDRESS( 19, MATCH( $A13,  OPERAÇÕES!$2:$2, 0 ),,, "OPERAÇÕES" ) )</f>
        <v>40</v>
      </c>
      <c r="E13" s="49" cm="1">
        <f t="array" aca="1" ref="E13" ca="1">INDIRECT( ADDRESS( 21, MATCH( $A13,  OPERAÇÕES!$2:$2, 0 ) + 1,,, "OPERAÇÕES" ) )</f>
        <v>2</v>
      </c>
      <c r="F13" s="51">
        <f t="shared" ref="F13" ca="1" si="4">E13 * 100 * D13 - G13</f>
        <v>7420</v>
      </c>
      <c r="G13" s="51">
        <f t="shared" ref="G13" ca="1" si="5">C13 * E13 * 100</f>
        <v>580</v>
      </c>
      <c r="H13" s="51">
        <f t="shared" ref="H13" ca="1" si="6">G13 * 2</f>
        <v>1160</v>
      </c>
      <c r="I13" s="50">
        <f t="shared" ref="I13" ca="1" si="7">H13/B13</f>
        <v>4.0383026039392943E-2</v>
      </c>
      <c r="J13" s="110" cm="1">
        <f t="array" aca="1" ref="J13" ca="1">INDIRECT( ADDRESS( 26, MATCH( $A13,  OPERAÇÕES!$2:$2, 0 ) + 2,,, "OPERAÇÕES" ) )</f>
        <v>0</v>
      </c>
      <c r="K13" s="110">
        <f ca="1">SUM( J$2:J13 )</f>
        <v>280</v>
      </c>
      <c r="L13" s="60">
        <f ca="1">IFERROR( SUM( J$2:J13 ) / SUM( G$2:G13 ), "-" )</f>
        <v>6.3492063492063489E-2</v>
      </c>
      <c r="M13" s="60">
        <f ca="1">IFERROR( COUNTIF( J$2:J13, "&gt;0") / COUNTIF( C$2:C13, "&gt;0"), "-" )</f>
        <v>0.6</v>
      </c>
      <c r="N13" s="108">
        <f>28720.03 - 28710.24</f>
        <v>9.7899999999972351</v>
      </c>
      <c r="O13" s="51">
        <v>0</v>
      </c>
      <c r="P13" s="51"/>
      <c r="Q13" s="51"/>
      <c r="R13" s="109">
        <f>DATE( YEAR( R12 + 32 ), MONTH( R12 + 32 ), 1 )</f>
        <v>46113</v>
      </c>
      <c r="S13" s="110">
        <f>SUMIFS( Table2[[#All],[APORTE]], Table2[[#All],[DATA]], "&lt;" &amp; DATE( YEAR( $R13 + 32 ), MONTH( $R13 + 32 ), 1 ) )</f>
        <v>28520.5</v>
      </c>
      <c r="T13" s="110">
        <f ca="1">IF( _xlfn.MAXIFS( Table2[[#All],[DATA]], Table2[[#All],[DATA]], "&gt;="&amp; $R13, Table2[[#All],[DATA]], "&lt;" &amp; DATE( YEAR( $R13 + 32 ), MONTH( $R13 + 32 ), 1 )  ) &gt; 0, VLOOKUP( _xlfn.MAXIFS( Table2[[#All],[DATA]], Table2[[#All],[DATA]], "&gt;="&amp; $R13, Table2[[#All],[DATA]], "&lt;" &amp; DATE( YEAR( $R13 + 32 ), MONTH( $R13 + 32 ), 1 )  ), Table2[#All], MATCH( "WALLET", Table2[#Headers], 0 ), 0 ), "-" )</f>
        <v>28666.190000000006</v>
      </c>
      <c r="U13" s="111">
        <f ca="1">IFERROR( IF( T13 = 0, "-", T13/ S13 - 1 ), "-" )</f>
        <v>5.1082554653671952E-3</v>
      </c>
      <c r="V13" s="49">
        <f ca="1">COUNTIFS( Table2[[#All],[CONTRATOS]], "&gt;"&amp; 0,  Table2[[#All],[DATA]], "&gt;="&amp; $R13, Table2[[#All],[DATA]], "&lt;" &amp; DATE( YEAR( $R13 + 32 ), MONTH( $R13 + 32 ), 1 ) )</f>
        <v>3</v>
      </c>
      <c r="W13" s="49">
        <f ca="1">COUNTIFS( Table2[[#All],[CONTRATOS]], "&gt;"&amp; 0,  Table2[[#All],[DATA]], "&gt;="&amp; $R13, Table2[[#All],[DATA]], "&lt;" &amp; DATE( YEAR( $R13 + 32 ), MONTH( $R13 + 32 ), 1 ), Table2[[#All],[RESULTADO]], "&gt;" &amp; 0 )</f>
        <v>1</v>
      </c>
      <c r="X13" s="49">
        <f ca="1">COUNTIFS( Table2[[#All],[CONTRATOS]], "&gt;"&amp; 0,  Table2[[#All],[DATA]], "&gt;="&amp; $R13, Table2[[#All],[DATA]], "&lt;" &amp; DATE( YEAR( $R13 + 32 ), MONTH( $R13 + 32 ), 1 ), Table2[[#All],[RESULTADO]], "&lt;" &amp; 0 )</f>
        <v>0</v>
      </c>
      <c r="Y13" s="50">
        <f ca="1">IFERROR( W13 / $V13, "-" )</f>
        <v>0.33333333333333331</v>
      </c>
      <c r="Z13" s="50">
        <f ca="1">IFERROR( X13 / $V13, "-" )</f>
        <v>0</v>
      </c>
      <c r="AA13" s="49">
        <f ca="1">SUMIFS( Table2[[#All],[CONTRATOS]], Table2[[#All],[DATA]], "&gt;="&amp; $R13, Table2[[#All],[DATA]], "&lt;" &amp; DATE( YEAR( $R13 + 32 ), MONTH( $R13 + 32 ), 1 ) )</f>
        <v>6</v>
      </c>
      <c r="AB13" s="110">
        <f ca="1">SUMIFS( Table2[[#All],[RESULTADO]], Table2[[#All],[DATA]], "&gt;="&amp; $R13, Table2[[#All],[DATA]], "&lt;" &amp; DATE( YEAR( $R13 + 32 ), MONTH( $R13 + 32 ), 1 ) )</f>
        <v>710</v>
      </c>
      <c r="AC13" s="110">
        <f ca="1">SUMIFS( Table2[[#All],[RESULTADO]], Table2[[#All],[DATA]], "&gt;="&amp; $R13, Table2[[#All],[DATA]], "&lt;" &amp; DATE( YEAR( $R13 + 32 ), MONTH( $R13 + 32 ), 1 ), Table2[[#All],[RESULTADO]], "&gt;" &amp; 0 ) / W13</f>
        <v>710</v>
      </c>
      <c r="AD13" s="110" t="str">
        <f ca="1">IFERROR( SUMIFS( Table2[[#All],[RESULTADO]], Table2[[#All],[DATA]], "&gt;="&amp; $R13, Table2[[#All],[DATA]], "&lt;" &amp; DATE( YEAR( $R13 + 32 ), MONTH( $R13 + 32 ), 1 ), Table2[[#All],[RESULTADO]], "&lt;" &amp; 0 ) / X13, "-" )</f>
        <v>-</v>
      </c>
      <c r="AE13" s="110">
        <f ca="1">IFERROR( SUMPRODUCT( Y13:Z13, AC13:AD13 ), "-" )</f>
        <v>236.66666666666666</v>
      </c>
      <c r="AF13" s="110">
        <f ca="1">IFERROR( AB13/V13, "-" )</f>
        <v>236.66666666666666</v>
      </c>
      <c r="AG13" s="114">
        <f ca="1">IFERROR( IF( $R$5 / AF13 &lt;= 0, "+99", $R$5 / AF13 ), "-" )</f>
        <v>27.656788732394364</v>
      </c>
    </row>
    <row r="14" spans="1:33" x14ac:dyDescent="0.2">
      <c r="A14" s="103">
        <f t="shared" si="1"/>
        <v>46121</v>
      </c>
      <c r="B14" s="51">
        <f t="shared" ca="1" si="3"/>
        <v>28715.150000000005</v>
      </c>
      <c r="C14" s="51" cm="1">
        <f t="array" aca="1" ref="C14" ca="1">INDIRECT( ADDRESS( 19, MATCH( $A14,  OPERAÇÕES!$2:$2, 0 ) + 1,,, "OPERAÇÕES" ) )</f>
        <v>2.85</v>
      </c>
      <c r="D14" s="49" cm="1">
        <f t="array" aca="1" ref="D14" ca="1">INDIRECT( ADDRESS( 19, MATCH( $A14,  OPERAÇÕES!$2:$2, 0 ),,, "OPERAÇÕES" ) )</f>
        <v>55</v>
      </c>
      <c r="E14" s="49" cm="1">
        <f t="array" aca="1" ref="E14" ca="1">INDIRECT( ADDRESS( 21, MATCH( $A14,  OPERAÇÕES!$2:$2, 0 ) + 1,,, "OPERAÇÕES" ) )</f>
        <v>2</v>
      </c>
      <c r="F14" s="51">
        <f t="shared" ref="F14" ca="1" si="8">E14 * 100 * D14 - G14</f>
        <v>10430</v>
      </c>
      <c r="G14" s="51">
        <f t="shared" ref="G14" ca="1" si="9">C14 * E14 * 100</f>
        <v>570</v>
      </c>
      <c r="H14" s="51">
        <f t="shared" ref="H14" ca="1" si="10">G14 * 2</f>
        <v>1140</v>
      </c>
      <c r="I14" s="50">
        <f t="shared" ref="I14" ca="1" si="11">H14/B14</f>
        <v>3.9700297578107717E-2</v>
      </c>
      <c r="J14" s="110" cm="1">
        <f t="array" aca="1" ref="J14" ca="1">INDIRECT( ADDRESS( 26, MATCH( $A14,  OPERAÇÕES!$2:$2, 0 ) + 2,,, "OPERAÇÕES" ) )</f>
        <v>0</v>
      </c>
      <c r="K14" s="110">
        <f ca="1">SUM( J$2:J14 )</f>
        <v>280</v>
      </c>
      <c r="L14" s="60">
        <f ca="1">IFERROR( SUM( J$2:J14 ) / SUM( G$2:G14 ), "-" )</f>
        <v>5.6224899598393573E-2</v>
      </c>
      <c r="M14" s="60">
        <f ca="1">IFERROR( COUNTIF( J$2:J14, "&gt;0") / COUNTIF( C$2:C14, "&gt;0"), "-" )</f>
        <v>0.5</v>
      </c>
      <c r="N14" s="108">
        <v>48.96</v>
      </c>
      <c r="O14" s="51">
        <v>0</v>
      </c>
      <c r="R14" s="109">
        <f t="shared" ref="R14:R24" si="12">DATE( YEAR( R13 + 32 ), MONTH( R13 + 32 ), 1 )</f>
        <v>46143</v>
      </c>
      <c r="S14" s="110"/>
      <c r="T14" s="110"/>
      <c r="U14" s="111"/>
      <c r="Y14" s="50"/>
      <c r="Z14" s="50"/>
      <c r="AB14" s="110"/>
      <c r="AF14" s="110"/>
    </row>
    <row r="15" spans="1:33" x14ac:dyDescent="0.2">
      <c r="A15" s="103">
        <f t="shared" si="1"/>
        <v>46122</v>
      </c>
      <c r="B15" s="51">
        <f t="shared" ca="1" si="3"/>
        <v>28666.190000000006</v>
      </c>
      <c r="G15" s="51"/>
      <c r="J15" s="110"/>
      <c r="K15" s="110"/>
      <c r="L15" s="60"/>
      <c r="R15" s="109">
        <f t="shared" si="12"/>
        <v>46174</v>
      </c>
      <c r="S15" s="110"/>
      <c r="T15" s="110"/>
      <c r="U15" s="111"/>
      <c r="Y15" s="50"/>
      <c r="Z15" s="50"/>
      <c r="AB15" s="110"/>
      <c r="AF15" s="110"/>
    </row>
    <row r="16" spans="1:33" x14ac:dyDescent="0.2">
      <c r="G16" s="51"/>
      <c r="J16" s="110"/>
      <c r="K16" s="110"/>
      <c r="L16" s="60"/>
      <c r="R16" s="109">
        <f t="shared" si="12"/>
        <v>46204</v>
      </c>
      <c r="S16" s="110"/>
      <c r="T16" s="110"/>
      <c r="U16" s="111"/>
      <c r="Y16" s="50"/>
      <c r="Z16" s="50"/>
      <c r="AB16" s="110"/>
      <c r="AF16" s="110"/>
    </row>
    <row r="17" spans="4:32" x14ac:dyDescent="0.2">
      <c r="G17" s="51"/>
      <c r="J17" s="110"/>
      <c r="K17" s="110"/>
      <c r="L17" s="60"/>
      <c r="R17" s="109">
        <f t="shared" si="12"/>
        <v>46235</v>
      </c>
      <c r="S17" s="110"/>
      <c r="T17" s="110"/>
      <c r="U17" s="111"/>
      <c r="Y17" s="50"/>
      <c r="Z17" s="50"/>
      <c r="AB17" s="110"/>
      <c r="AF17" s="110"/>
    </row>
    <row r="18" spans="4:32" x14ac:dyDescent="0.2">
      <c r="G18" s="51"/>
      <c r="J18" s="110"/>
      <c r="K18" s="110"/>
      <c r="L18" s="60"/>
      <c r="R18" s="109">
        <f t="shared" si="12"/>
        <v>46266</v>
      </c>
      <c r="S18" s="110"/>
      <c r="T18" s="110"/>
      <c r="U18" s="111"/>
      <c r="Y18" s="50"/>
      <c r="Z18" s="50"/>
      <c r="AB18" s="110"/>
      <c r="AF18" s="110"/>
    </row>
    <row r="19" spans="4:32" x14ac:dyDescent="0.2">
      <c r="G19" s="51"/>
      <c r="J19" s="110"/>
      <c r="K19" s="110"/>
      <c r="L19" s="60"/>
      <c r="R19" s="109">
        <f t="shared" si="12"/>
        <v>46296</v>
      </c>
      <c r="S19" s="110"/>
      <c r="T19" s="110"/>
      <c r="U19" s="111"/>
      <c r="Y19" s="50"/>
      <c r="Z19" s="50"/>
      <c r="AB19" s="110"/>
      <c r="AF19" s="110"/>
    </row>
    <row r="20" spans="4:32" x14ac:dyDescent="0.2">
      <c r="G20" s="51"/>
      <c r="J20" s="110"/>
      <c r="K20" s="110"/>
      <c r="L20" s="60"/>
      <c r="R20" s="109">
        <f t="shared" si="12"/>
        <v>46327</v>
      </c>
      <c r="S20" s="110"/>
      <c r="T20" s="110"/>
      <c r="U20" s="111"/>
      <c r="Y20" s="50"/>
      <c r="Z20" s="50"/>
      <c r="AB20" s="110"/>
      <c r="AF20" s="110"/>
    </row>
    <row r="21" spans="4:32" x14ac:dyDescent="0.2">
      <c r="G21" s="51"/>
      <c r="J21" s="110"/>
      <c r="K21" s="110"/>
      <c r="L21" s="60"/>
      <c r="R21" s="109">
        <f t="shared" si="12"/>
        <v>46357</v>
      </c>
      <c r="S21" s="110"/>
      <c r="T21" s="110"/>
      <c r="U21" s="111"/>
      <c r="Y21" s="50"/>
      <c r="Z21" s="50"/>
      <c r="AB21" s="110"/>
      <c r="AF21" s="110"/>
    </row>
    <row r="22" spans="4:32" x14ac:dyDescent="0.2">
      <c r="G22" s="51"/>
      <c r="J22" s="110"/>
      <c r="K22" s="110"/>
      <c r="L22" s="60"/>
      <c r="R22" s="109">
        <f t="shared" si="12"/>
        <v>46388</v>
      </c>
      <c r="S22" s="110"/>
      <c r="T22" s="110"/>
      <c r="U22" s="111"/>
      <c r="Y22" s="50"/>
      <c r="Z22" s="50"/>
      <c r="AB22" s="110"/>
      <c r="AF22" s="110"/>
    </row>
    <row r="23" spans="4:32" x14ac:dyDescent="0.2">
      <c r="G23" s="51"/>
      <c r="J23" s="110"/>
      <c r="K23" s="110"/>
      <c r="L23" s="60"/>
      <c r="R23" s="109">
        <f t="shared" si="12"/>
        <v>46419</v>
      </c>
      <c r="S23" s="110"/>
      <c r="T23" s="110"/>
      <c r="U23" s="111"/>
      <c r="Y23" s="50"/>
      <c r="Z23" s="50"/>
      <c r="AB23" s="110"/>
      <c r="AF23" s="110"/>
    </row>
    <row r="24" spans="4:32" x14ac:dyDescent="0.2">
      <c r="G24" s="51"/>
      <c r="J24" s="110"/>
      <c r="K24" s="110"/>
      <c r="L24" s="60"/>
      <c r="R24" s="109">
        <f t="shared" si="12"/>
        <v>46447</v>
      </c>
      <c r="S24" s="110"/>
      <c r="T24" s="110"/>
      <c r="U24" s="111"/>
      <c r="Y24" s="50"/>
      <c r="Z24" s="50"/>
      <c r="AB24" s="110"/>
      <c r="AF24" s="110"/>
    </row>
    <row r="25" spans="4:32" x14ac:dyDescent="0.2">
      <c r="G25" s="51"/>
      <c r="J25" s="110"/>
      <c r="K25" s="110"/>
      <c r="L25" s="60"/>
    </row>
    <row r="26" spans="4:32" x14ac:dyDescent="0.2">
      <c r="G26" s="51"/>
      <c r="J26" s="110"/>
      <c r="K26" s="110"/>
      <c r="L26" s="60"/>
    </row>
    <row r="30" spans="4:32" x14ac:dyDescent="0.2">
      <c r="D30" s="49">
        <v>0.72</v>
      </c>
      <c r="E30" s="49">
        <v>4</v>
      </c>
    </row>
    <row r="31" spans="4:32" x14ac:dyDescent="0.2">
      <c r="D31" s="49">
        <v>1.45</v>
      </c>
      <c r="E31" s="49">
        <v>1</v>
      </c>
    </row>
    <row r="32" spans="4:32" x14ac:dyDescent="0.2">
      <c r="D32" s="49">
        <v>1.46</v>
      </c>
      <c r="E32" s="49">
        <v>1</v>
      </c>
    </row>
    <row r="33" spans="5:5" x14ac:dyDescent="0.2">
      <c r="E33" s="49">
        <f>SUMPRODUCT( D30:D32, E30:E32 )</f>
        <v>5.79</v>
      </c>
    </row>
  </sheetData>
  <pageMargins left="0.7" right="0.7" top="0.75" bottom="0.75" header="0.3" footer="0.3"/>
  <pageSetup paperSize="9" orientation="portrait" horizontalDpi="0" verticalDpi="0"/>
  <ignoredErrors>
    <ignoredError sqref="A2" calculatedColumn="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E7071-33FC-2541-BA61-056FA9D54FF0}">
  <dimension ref="A1:W132"/>
  <sheetViews>
    <sheetView topLeftCell="A42" workbookViewId="0">
      <selection activeCell="H65" sqref="H65"/>
    </sheetView>
  </sheetViews>
  <sheetFormatPr baseColWidth="10" defaultRowHeight="16" x14ac:dyDescent="0.2"/>
  <cols>
    <col min="1" max="1" width="13.33203125" style="49" bestFit="1" customWidth="1"/>
    <col min="2" max="2" width="10.1640625" style="49" bestFit="1" customWidth="1"/>
    <col min="3" max="3" width="8.1640625" style="49" bestFit="1" customWidth="1"/>
    <col min="4" max="4" width="15.33203125" style="49" bestFit="1" customWidth="1"/>
    <col min="5" max="5" width="17.5" style="49" bestFit="1" customWidth="1"/>
    <col min="6" max="6" width="14.1640625" style="49" bestFit="1" customWidth="1"/>
    <col min="7" max="7" width="22.1640625" style="49" bestFit="1" customWidth="1"/>
    <col min="8" max="8" width="19.33203125" style="51" bestFit="1" customWidth="1"/>
    <col min="9" max="9" width="51.83203125" style="51" bestFit="1" customWidth="1"/>
    <col min="10" max="10" width="11.1640625" style="49" bestFit="1" customWidth="1"/>
    <col min="11" max="11" width="11.83203125" style="51" bestFit="1" customWidth="1"/>
    <col min="12" max="12" width="13.1640625" style="51" bestFit="1" customWidth="1"/>
    <col min="13" max="13" width="18.5" style="51" bestFit="1" customWidth="1"/>
    <col min="14" max="14" width="18.83203125" style="49" bestFit="1" customWidth="1"/>
    <col min="15" max="15" width="11.1640625" style="49" bestFit="1" customWidth="1"/>
    <col min="16" max="16" width="14" style="49" bestFit="1" customWidth="1"/>
    <col min="17" max="17" width="16.33203125" style="49" bestFit="1" customWidth="1"/>
    <col min="18" max="18" width="21.33203125" style="49" bestFit="1" customWidth="1"/>
    <col min="19" max="19" width="18.6640625" style="49" bestFit="1" customWidth="1"/>
    <col min="20" max="20" width="15.6640625" style="49" bestFit="1" customWidth="1"/>
    <col min="21" max="21" width="14.6640625" style="49" bestFit="1" customWidth="1"/>
    <col min="22" max="22" width="12.1640625" style="49" bestFit="1" customWidth="1"/>
    <col min="23" max="23" width="13.6640625" style="49" bestFit="1" customWidth="1"/>
    <col min="24" max="16384" width="10.83203125" style="49"/>
  </cols>
  <sheetData>
    <row r="1" spans="1:23" x14ac:dyDescent="0.2">
      <c r="A1" t="s">
        <v>188</v>
      </c>
      <c r="B1" s="49" t="s">
        <v>57</v>
      </c>
      <c r="C1" t="s">
        <v>189</v>
      </c>
      <c r="D1" s="49" t="s">
        <v>58</v>
      </c>
      <c r="E1" s="49" t="s">
        <v>59</v>
      </c>
      <c r="F1" s="49" t="s">
        <v>60</v>
      </c>
      <c r="G1" s="49" t="s">
        <v>61</v>
      </c>
      <c r="H1" s="49" t="s">
        <v>62</v>
      </c>
      <c r="I1" s="49" t="s">
        <v>63</v>
      </c>
      <c r="J1" s="51" t="s">
        <v>56</v>
      </c>
      <c r="K1" s="51" t="s">
        <v>64</v>
      </c>
      <c r="L1" s="49" t="s">
        <v>16</v>
      </c>
      <c r="M1" s="51" t="s">
        <v>65</v>
      </c>
      <c r="N1" s="51" t="s">
        <v>66</v>
      </c>
      <c r="O1" s="51" t="s">
        <v>67</v>
      </c>
      <c r="P1" s="49" t="s">
        <v>68</v>
      </c>
      <c r="Q1" s="49" t="s">
        <v>69</v>
      </c>
      <c r="R1" s="49" t="s">
        <v>70</v>
      </c>
      <c r="S1" s="49" t="s">
        <v>71</v>
      </c>
      <c r="T1" s="49" t="s">
        <v>72</v>
      </c>
      <c r="U1" s="49" t="s">
        <v>73</v>
      </c>
      <c r="V1" s="49" t="s">
        <v>74</v>
      </c>
      <c r="W1" s="49" t="s">
        <v>75</v>
      </c>
    </row>
    <row r="2" spans="1:23" x14ac:dyDescent="0.2">
      <c r="A2" s="117">
        <v>46136.67046296296</v>
      </c>
      <c r="B2" s="119">
        <v>46136</v>
      </c>
      <c r="C2" s="122">
        <v>0.67046296296296293</v>
      </c>
      <c r="D2" s="49" t="s">
        <v>76</v>
      </c>
      <c r="E2" s="49" t="s">
        <v>85</v>
      </c>
      <c r="F2" s="49" t="s">
        <v>86</v>
      </c>
      <c r="G2" s="49" t="s">
        <v>304</v>
      </c>
      <c r="H2" s="49" t="s">
        <v>80</v>
      </c>
      <c r="I2" s="49" t="s">
        <v>305</v>
      </c>
      <c r="J2" s="51">
        <v>-2135.7199999999998</v>
      </c>
      <c r="K2" s="51">
        <v>-2135</v>
      </c>
      <c r="L2" s="49">
        <v>1</v>
      </c>
      <c r="M2" s="51">
        <v>-2135</v>
      </c>
      <c r="N2" s="51">
        <v>0</v>
      </c>
      <c r="O2" s="51">
        <v>-0.72</v>
      </c>
      <c r="P2" s="49">
        <v>100</v>
      </c>
      <c r="Q2" s="49" t="s">
        <v>82</v>
      </c>
      <c r="R2" s="49" t="s">
        <v>0</v>
      </c>
      <c r="S2" s="119">
        <v>46136</v>
      </c>
      <c r="T2" s="49">
        <v>7140</v>
      </c>
      <c r="U2" s="49" t="s">
        <v>101</v>
      </c>
      <c r="V2" s="49">
        <v>459569399</v>
      </c>
      <c r="W2" s="49" t="s">
        <v>84</v>
      </c>
    </row>
    <row r="3" spans="1:23" x14ac:dyDescent="0.2">
      <c r="A3" s="117">
        <v>46136.67046296296</v>
      </c>
      <c r="B3" s="119">
        <v>46136</v>
      </c>
      <c r="C3" s="122">
        <v>0.67046296296296293</v>
      </c>
      <c r="D3" s="49" t="s">
        <v>76</v>
      </c>
      <c r="E3" s="49" t="s">
        <v>77</v>
      </c>
      <c r="F3" s="49" t="s">
        <v>78</v>
      </c>
      <c r="G3" s="49" t="s">
        <v>306</v>
      </c>
      <c r="H3" s="49" t="s">
        <v>80</v>
      </c>
      <c r="I3" s="49" t="s">
        <v>307</v>
      </c>
      <c r="J3" s="51">
        <v>2619.2800000000002</v>
      </c>
      <c r="K3" s="51">
        <v>2620</v>
      </c>
      <c r="L3" s="49">
        <v>1</v>
      </c>
      <c r="M3" s="51">
        <v>2620</v>
      </c>
      <c r="N3" s="51">
        <v>0</v>
      </c>
      <c r="O3" s="51">
        <v>-0.72</v>
      </c>
      <c r="P3" s="49">
        <v>100</v>
      </c>
      <c r="Q3" s="49" t="s">
        <v>82</v>
      </c>
      <c r="R3" s="49" t="s">
        <v>0</v>
      </c>
      <c r="S3" s="119">
        <v>46136</v>
      </c>
      <c r="T3" s="49">
        <v>7135</v>
      </c>
      <c r="U3" s="49" t="s">
        <v>101</v>
      </c>
      <c r="V3" s="49">
        <v>459569399</v>
      </c>
      <c r="W3" s="49" t="s">
        <v>84</v>
      </c>
    </row>
    <row r="4" spans="1:23" x14ac:dyDescent="0.2">
      <c r="A4" s="117">
        <v>46136.67046296296</v>
      </c>
      <c r="B4" s="119">
        <v>46136</v>
      </c>
      <c r="C4" s="122">
        <v>0.67046296296296293</v>
      </c>
      <c r="D4" s="49" t="s">
        <v>76</v>
      </c>
      <c r="E4" s="49" t="s">
        <v>85</v>
      </c>
      <c r="F4" s="49" t="s">
        <v>86</v>
      </c>
      <c r="G4" s="49" t="s">
        <v>304</v>
      </c>
      <c r="H4" s="49" t="s">
        <v>80</v>
      </c>
      <c r="I4" s="49" t="s">
        <v>305</v>
      </c>
      <c r="J4" s="51">
        <v>-2135.7199999999998</v>
      </c>
      <c r="K4" s="51">
        <v>-2135</v>
      </c>
      <c r="L4" s="49">
        <v>1</v>
      </c>
      <c r="M4" s="51">
        <v>-2135</v>
      </c>
      <c r="N4" s="51">
        <v>0</v>
      </c>
      <c r="O4" s="51">
        <v>-0.72</v>
      </c>
      <c r="P4" s="49">
        <v>100</v>
      </c>
      <c r="Q4" s="49" t="s">
        <v>82</v>
      </c>
      <c r="R4" s="49" t="s">
        <v>0</v>
      </c>
      <c r="S4" s="119">
        <v>46136</v>
      </c>
      <c r="T4" s="49">
        <v>7140</v>
      </c>
      <c r="U4" s="49" t="s">
        <v>101</v>
      </c>
      <c r="V4" s="49">
        <v>459569399</v>
      </c>
      <c r="W4" s="49" t="s">
        <v>84</v>
      </c>
    </row>
    <row r="5" spans="1:23" x14ac:dyDescent="0.2">
      <c r="A5" s="117">
        <v>46136.67046296296</v>
      </c>
      <c r="B5" s="119">
        <v>46136</v>
      </c>
      <c r="C5" s="122">
        <v>0.67046296296296293</v>
      </c>
      <c r="D5" s="49" t="s">
        <v>76</v>
      </c>
      <c r="E5" s="49" t="s">
        <v>77</v>
      </c>
      <c r="F5" s="49" t="s">
        <v>78</v>
      </c>
      <c r="G5" s="49" t="s">
        <v>306</v>
      </c>
      <c r="H5" s="49" t="s">
        <v>80</v>
      </c>
      <c r="I5" s="49" t="s">
        <v>307</v>
      </c>
      <c r="J5" s="51">
        <v>2619.2800000000002</v>
      </c>
      <c r="K5" s="51">
        <v>2620</v>
      </c>
      <c r="L5" s="49">
        <v>1</v>
      </c>
      <c r="M5" s="51">
        <v>2620</v>
      </c>
      <c r="N5" s="51">
        <v>0</v>
      </c>
      <c r="O5" s="51">
        <v>-0.72</v>
      </c>
      <c r="P5" s="49">
        <v>100</v>
      </c>
      <c r="Q5" s="49" t="s">
        <v>82</v>
      </c>
      <c r="R5" s="49" t="s">
        <v>0</v>
      </c>
      <c r="S5" s="119">
        <v>46136</v>
      </c>
      <c r="T5" s="49">
        <v>7135</v>
      </c>
      <c r="U5" s="49" t="s">
        <v>101</v>
      </c>
      <c r="V5" s="49">
        <v>459569399</v>
      </c>
      <c r="W5" s="49" t="s">
        <v>84</v>
      </c>
    </row>
    <row r="6" spans="1:23" x14ac:dyDescent="0.2">
      <c r="A6" s="117">
        <v>46136.454409722224</v>
      </c>
      <c r="B6" s="119">
        <v>46136</v>
      </c>
      <c r="C6" s="122">
        <v>0.4544097222222222</v>
      </c>
      <c r="D6" s="49" t="s">
        <v>76</v>
      </c>
      <c r="E6" s="49" t="s">
        <v>96</v>
      </c>
      <c r="F6" s="49" t="s">
        <v>97</v>
      </c>
      <c r="G6" s="49" t="s">
        <v>304</v>
      </c>
      <c r="H6" s="49" t="s">
        <v>80</v>
      </c>
      <c r="I6" s="49" t="s">
        <v>308</v>
      </c>
      <c r="J6" s="51">
        <v>1298.54</v>
      </c>
      <c r="K6" s="51">
        <v>1302</v>
      </c>
      <c r="L6" s="49">
        <v>2</v>
      </c>
      <c r="M6" s="51">
        <v>651</v>
      </c>
      <c r="N6" s="51">
        <v>-2</v>
      </c>
      <c r="O6" s="51">
        <v>-1.46</v>
      </c>
      <c r="P6" s="49">
        <v>100</v>
      </c>
      <c r="Q6" s="49" t="s">
        <v>82</v>
      </c>
      <c r="R6" s="49" t="s">
        <v>0</v>
      </c>
      <c r="S6" s="119">
        <v>46136</v>
      </c>
      <c r="T6" s="49">
        <v>7140</v>
      </c>
      <c r="U6" s="49" t="s">
        <v>101</v>
      </c>
      <c r="V6" s="49">
        <v>458835898</v>
      </c>
      <c r="W6" s="49" t="s">
        <v>84</v>
      </c>
    </row>
    <row r="7" spans="1:23" x14ac:dyDescent="0.2">
      <c r="A7" s="117">
        <v>46136.454409722224</v>
      </c>
      <c r="B7" s="119">
        <v>46136</v>
      </c>
      <c r="C7" s="122">
        <v>0.4544097222222222</v>
      </c>
      <c r="D7" s="49" t="s">
        <v>76</v>
      </c>
      <c r="E7" s="49" t="s">
        <v>93</v>
      </c>
      <c r="F7" s="49" t="s">
        <v>94</v>
      </c>
      <c r="G7" s="49" t="s">
        <v>306</v>
      </c>
      <c r="H7" s="49" t="s">
        <v>80</v>
      </c>
      <c r="I7" s="49" t="s">
        <v>309</v>
      </c>
      <c r="J7" s="51">
        <v>-1655.45</v>
      </c>
      <c r="K7" s="51">
        <v>-1652</v>
      </c>
      <c r="L7" s="49">
        <v>2</v>
      </c>
      <c r="M7" s="51">
        <v>-826</v>
      </c>
      <c r="N7" s="51">
        <v>-2</v>
      </c>
      <c r="O7" s="51">
        <v>-1.45</v>
      </c>
      <c r="P7" s="49">
        <v>100</v>
      </c>
      <c r="Q7" s="49" t="s">
        <v>82</v>
      </c>
      <c r="R7" s="49" t="s">
        <v>0</v>
      </c>
      <c r="S7" s="119">
        <v>46136</v>
      </c>
      <c r="T7" s="49">
        <v>7135</v>
      </c>
      <c r="U7" s="49" t="s">
        <v>101</v>
      </c>
      <c r="V7" s="49">
        <v>458835898</v>
      </c>
      <c r="W7" s="49" t="s">
        <v>84</v>
      </c>
    </row>
    <row r="8" spans="1:23" x14ac:dyDescent="0.2">
      <c r="A8" s="117">
        <v>46130.683680555558</v>
      </c>
      <c r="B8" s="119">
        <v>46130</v>
      </c>
      <c r="C8" s="122">
        <v>0.68368055555555551</v>
      </c>
      <c r="D8" s="49" t="s">
        <v>140</v>
      </c>
      <c r="E8" s="49" t="s">
        <v>145</v>
      </c>
      <c r="F8" s="49" t="s">
        <v>142</v>
      </c>
      <c r="G8" s="49" t="s">
        <v>142</v>
      </c>
      <c r="H8" s="49" t="s">
        <v>142</v>
      </c>
      <c r="I8" s="49" t="s">
        <v>146</v>
      </c>
      <c r="J8" s="51">
        <v>0.06</v>
      </c>
      <c r="K8" s="51">
        <v>0.06</v>
      </c>
      <c r="L8" s="49">
        <v>0</v>
      </c>
      <c r="N8" s="51">
        <v>0</v>
      </c>
      <c r="O8" s="51">
        <v>0</v>
      </c>
      <c r="Q8" s="49" t="s">
        <v>142</v>
      </c>
      <c r="R8" s="49" t="s">
        <v>142</v>
      </c>
      <c r="S8" s="119"/>
      <c r="U8" s="49" t="s">
        <v>142</v>
      </c>
      <c r="W8" s="49" t="s">
        <v>84</v>
      </c>
    </row>
    <row r="9" spans="1:23" x14ac:dyDescent="0.2">
      <c r="A9" s="117">
        <v>46129.680162037039</v>
      </c>
      <c r="B9" s="119">
        <v>46129</v>
      </c>
      <c r="C9" s="122">
        <v>0.68016203703703704</v>
      </c>
      <c r="D9" s="49" t="s">
        <v>76</v>
      </c>
      <c r="E9" s="49" t="s">
        <v>85</v>
      </c>
      <c r="F9" s="49" t="s">
        <v>86</v>
      </c>
      <c r="G9" s="49" t="s">
        <v>310</v>
      </c>
      <c r="H9" s="49" t="s">
        <v>80</v>
      </c>
      <c r="I9" s="49" t="s">
        <v>311</v>
      </c>
      <c r="J9" s="51">
        <v>-55.45</v>
      </c>
      <c r="K9" s="51">
        <v>-54</v>
      </c>
      <c r="L9" s="49">
        <v>2</v>
      </c>
      <c r="M9" s="51">
        <v>-27</v>
      </c>
      <c r="N9" s="51">
        <v>0</v>
      </c>
      <c r="O9" s="51">
        <v>-1.45</v>
      </c>
      <c r="P9" s="49">
        <v>100</v>
      </c>
      <c r="Q9" s="49" t="s">
        <v>82</v>
      </c>
      <c r="R9" s="49" t="s">
        <v>0</v>
      </c>
      <c r="S9" s="119">
        <v>46129</v>
      </c>
      <c r="T9" s="49">
        <v>7140</v>
      </c>
      <c r="U9" s="49" t="s">
        <v>101</v>
      </c>
      <c r="V9" s="49">
        <v>455755390</v>
      </c>
      <c r="W9" s="49" t="s">
        <v>84</v>
      </c>
    </row>
    <row r="10" spans="1:23" x14ac:dyDescent="0.2">
      <c r="A10" s="117">
        <v>46129.680162037039</v>
      </c>
      <c r="B10" s="119">
        <v>46129</v>
      </c>
      <c r="C10" s="122">
        <v>0.68016203703703704</v>
      </c>
      <c r="D10" s="49" t="s">
        <v>76</v>
      </c>
      <c r="E10" s="49" t="s">
        <v>77</v>
      </c>
      <c r="F10" s="49" t="s">
        <v>78</v>
      </c>
      <c r="G10" s="49" t="s">
        <v>312</v>
      </c>
      <c r="H10" s="49" t="s">
        <v>80</v>
      </c>
      <c r="I10" s="49" t="s">
        <v>313</v>
      </c>
      <c r="J10" s="51">
        <v>92.54</v>
      </c>
      <c r="K10" s="51">
        <v>94</v>
      </c>
      <c r="L10" s="49">
        <v>2</v>
      </c>
      <c r="M10" s="51">
        <v>47</v>
      </c>
      <c r="N10" s="51">
        <v>0</v>
      </c>
      <c r="O10" s="51">
        <v>-1.46</v>
      </c>
      <c r="P10" s="49">
        <v>100</v>
      </c>
      <c r="Q10" s="49" t="s">
        <v>82</v>
      </c>
      <c r="R10" s="49" t="s">
        <v>0</v>
      </c>
      <c r="S10" s="119">
        <v>46129</v>
      </c>
      <c r="T10" s="49">
        <v>7135</v>
      </c>
      <c r="U10" s="49" t="s">
        <v>101</v>
      </c>
      <c r="V10" s="49">
        <v>455755390</v>
      </c>
      <c r="W10" s="49" t="s">
        <v>84</v>
      </c>
    </row>
    <row r="11" spans="1:23" x14ac:dyDescent="0.2">
      <c r="A11" s="117">
        <v>46129.599282407406</v>
      </c>
      <c r="B11" s="119">
        <v>46129</v>
      </c>
      <c r="C11" s="122">
        <v>0.59928240740740746</v>
      </c>
      <c r="D11" s="49" t="s">
        <v>76</v>
      </c>
      <c r="E11" s="49" t="s">
        <v>96</v>
      </c>
      <c r="F11" s="49" t="s">
        <v>97</v>
      </c>
      <c r="G11" s="49" t="s">
        <v>310</v>
      </c>
      <c r="H11" s="49" t="s">
        <v>80</v>
      </c>
      <c r="I11" s="49" t="s">
        <v>314</v>
      </c>
      <c r="J11" s="51">
        <v>461.28</v>
      </c>
      <c r="K11" s="51">
        <v>463</v>
      </c>
      <c r="L11" s="49">
        <v>1</v>
      </c>
      <c r="M11" s="51">
        <v>463</v>
      </c>
      <c r="N11" s="51">
        <v>-1</v>
      </c>
      <c r="O11" s="51">
        <v>-0.72</v>
      </c>
      <c r="P11" s="49">
        <v>100</v>
      </c>
      <c r="Q11" s="49" t="s">
        <v>82</v>
      </c>
      <c r="R11" s="49" t="s">
        <v>0</v>
      </c>
      <c r="S11" s="119">
        <v>46129</v>
      </c>
      <c r="T11" s="49">
        <v>7140</v>
      </c>
      <c r="U11" s="49" t="s">
        <v>101</v>
      </c>
      <c r="V11" s="49">
        <v>455644177</v>
      </c>
      <c r="W11" s="49" t="s">
        <v>84</v>
      </c>
    </row>
    <row r="12" spans="1:23" x14ac:dyDescent="0.2">
      <c r="A12" s="117">
        <v>46129.599282407406</v>
      </c>
      <c r="B12" s="119">
        <v>46129</v>
      </c>
      <c r="C12" s="122">
        <v>0.59928240740740746</v>
      </c>
      <c r="D12" s="49" t="s">
        <v>76</v>
      </c>
      <c r="E12" s="49" t="s">
        <v>93</v>
      </c>
      <c r="F12" s="49" t="s">
        <v>94</v>
      </c>
      <c r="G12" s="49" t="s">
        <v>312</v>
      </c>
      <c r="H12" s="49" t="s">
        <v>80</v>
      </c>
      <c r="I12" s="49" t="s">
        <v>315</v>
      </c>
      <c r="J12" s="51">
        <v>-664.72</v>
      </c>
      <c r="K12" s="51">
        <v>-663</v>
      </c>
      <c r="L12" s="49">
        <v>1</v>
      </c>
      <c r="M12" s="51">
        <v>-663</v>
      </c>
      <c r="N12" s="51">
        <v>-1</v>
      </c>
      <c r="O12" s="51">
        <v>-0.72</v>
      </c>
      <c r="P12" s="49">
        <v>100</v>
      </c>
      <c r="Q12" s="49" t="s">
        <v>82</v>
      </c>
      <c r="R12" s="49" t="s">
        <v>0</v>
      </c>
      <c r="S12" s="119">
        <v>46129</v>
      </c>
      <c r="T12" s="49">
        <v>7135</v>
      </c>
      <c r="U12" s="49" t="s">
        <v>101</v>
      </c>
      <c r="V12" s="49">
        <v>455644177</v>
      </c>
      <c r="W12" s="49" t="s">
        <v>84</v>
      </c>
    </row>
    <row r="13" spans="1:23" x14ac:dyDescent="0.2">
      <c r="A13" s="117">
        <v>46129.599282407406</v>
      </c>
      <c r="B13" s="119">
        <v>46129</v>
      </c>
      <c r="C13" s="122">
        <v>0.59928240740740746</v>
      </c>
      <c r="D13" s="49" t="s">
        <v>76</v>
      </c>
      <c r="E13" s="49" t="s">
        <v>96</v>
      </c>
      <c r="F13" s="49" t="s">
        <v>97</v>
      </c>
      <c r="G13" s="49" t="s">
        <v>310</v>
      </c>
      <c r="H13" s="49" t="s">
        <v>80</v>
      </c>
      <c r="I13" s="49" t="s">
        <v>314</v>
      </c>
      <c r="J13" s="51">
        <v>461.28</v>
      </c>
      <c r="K13" s="51">
        <v>463</v>
      </c>
      <c r="L13" s="49">
        <v>1</v>
      </c>
      <c r="M13" s="51">
        <v>463</v>
      </c>
      <c r="N13" s="51">
        <v>-1</v>
      </c>
      <c r="O13" s="51">
        <v>-0.72</v>
      </c>
      <c r="P13" s="49">
        <v>100</v>
      </c>
      <c r="Q13" s="49" t="s">
        <v>82</v>
      </c>
      <c r="R13" s="49" t="s">
        <v>0</v>
      </c>
      <c r="S13" s="119">
        <v>46129</v>
      </c>
      <c r="T13" s="49">
        <v>7140</v>
      </c>
      <c r="U13" s="49" t="s">
        <v>101</v>
      </c>
      <c r="V13" s="49">
        <v>455644177</v>
      </c>
      <c r="W13" s="49" t="s">
        <v>84</v>
      </c>
    </row>
    <row r="14" spans="1:23" x14ac:dyDescent="0.2">
      <c r="A14" s="117">
        <v>46129.599282407406</v>
      </c>
      <c r="B14" s="119">
        <v>46129</v>
      </c>
      <c r="C14" s="122">
        <v>0.59928240740740746</v>
      </c>
      <c r="D14" s="49" t="s">
        <v>76</v>
      </c>
      <c r="E14" s="49" t="s">
        <v>93</v>
      </c>
      <c r="F14" s="49" t="s">
        <v>94</v>
      </c>
      <c r="G14" s="49" t="s">
        <v>312</v>
      </c>
      <c r="H14" s="49" t="s">
        <v>80</v>
      </c>
      <c r="I14" s="49" t="s">
        <v>315</v>
      </c>
      <c r="J14" s="51">
        <v>-664.72</v>
      </c>
      <c r="K14" s="51">
        <v>-663</v>
      </c>
      <c r="L14" s="49">
        <v>1</v>
      </c>
      <c r="M14" s="51">
        <v>-663</v>
      </c>
      <c r="N14" s="51">
        <v>-1</v>
      </c>
      <c r="O14" s="51">
        <v>-0.72</v>
      </c>
      <c r="P14" s="49">
        <v>100</v>
      </c>
      <c r="Q14" s="49" t="s">
        <v>82</v>
      </c>
      <c r="R14" s="49" t="s">
        <v>0</v>
      </c>
      <c r="S14" s="119">
        <v>46129</v>
      </c>
      <c r="T14" s="49">
        <v>7135</v>
      </c>
      <c r="U14" s="49" t="s">
        <v>101</v>
      </c>
      <c r="V14" s="49">
        <v>455644177</v>
      </c>
      <c r="W14" s="49" t="s">
        <v>84</v>
      </c>
    </row>
    <row r="15" spans="1:23" x14ac:dyDescent="0.2">
      <c r="A15" s="117">
        <v>46129.563009259262</v>
      </c>
      <c r="B15" s="119">
        <v>46129</v>
      </c>
      <c r="C15" s="122">
        <v>0.56300925925925926</v>
      </c>
      <c r="D15" s="49" t="s">
        <v>76</v>
      </c>
      <c r="E15" s="49" t="s">
        <v>85</v>
      </c>
      <c r="F15" s="49" t="s">
        <v>86</v>
      </c>
      <c r="G15" s="49" t="s">
        <v>316</v>
      </c>
      <c r="H15" s="49" t="s">
        <v>80</v>
      </c>
      <c r="I15" s="49" t="s">
        <v>317</v>
      </c>
      <c r="J15" s="51">
        <v>-4300.72</v>
      </c>
      <c r="K15" s="51">
        <v>-4300</v>
      </c>
      <c r="L15" s="49">
        <v>1</v>
      </c>
      <c r="M15" s="51">
        <v>-4300</v>
      </c>
      <c r="N15" s="51">
        <v>0</v>
      </c>
      <c r="O15" s="51">
        <v>-0.72</v>
      </c>
      <c r="P15" s="49">
        <v>100</v>
      </c>
      <c r="Q15" s="49" t="s">
        <v>82</v>
      </c>
      <c r="R15" s="49" t="s">
        <v>0</v>
      </c>
      <c r="S15" s="119">
        <v>46129</v>
      </c>
      <c r="T15" s="49">
        <v>7100</v>
      </c>
      <c r="U15" s="49" t="s">
        <v>101</v>
      </c>
      <c r="V15" s="49">
        <v>455423841</v>
      </c>
      <c r="W15" s="49" t="s">
        <v>84</v>
      </c>
    </row>
    <row r="16" spans="1:23" x14ac:dyDescent="0.2">
      <c r="A16" s="117">
        <v>46129.563009259262</v>
      </c>
      <c r="B16" s="119">
        <v>46129</v>
      </c>
      <c r="C16" s="122">
        <v>0.56300925925925926</v>
      </c>
      <c r="D16" s="49" t="s">
        <v>76</v>
      </c>
      <c r="E16" s="49" t="s">
        <v>77</v>
      </c>
      <c r="F16" s="49" t="s">
        <v>78</v>
      </c>
      <c r="G16" s="49" t="s">
        <v>318</v>
      </c>
      <c r="H16" s="49" t="s">
        <v>80</v>
      </c>
      <c r="I16" s="49" t="s">
        <v>319</v>
      </c>
      <c r="J16" s="51">
        <v>4779.28</v>
      </c>
      <c r="K16" s="51">
        <v>4780</v>
      </c>
      <c r="L16" s="49">
        <v>1</v>
      </c>
      <c r="M16" s="51">
        <v>4780</v>
      </c>
      <c r="N16" s="51">
        <v>0</v>
      </c>
      <c r="O16" s="51">
        <v>-0.72</v>
      </c>
      <c r="P16" s="49">
        <v>100</v>
      </c>
      <c r="Q16" s="49" t="s">
        <v>82</v>
      </c>
      <c r="R16" s="49" t="s">
        <v>0</v>
      </c>
      <c r="S16" s="119">
        <v>46129</v>
      </c>
      <c r="T16" s="49">
        <v>7095</v>
      </c>
      <c r="U16" s="49" t="s">
        <v>101</v>
      </c>
      <c r="V16" s="49">
        <v>455423841</v>
      </c>
      <c r="W16" s="49" t="s">
        <v>84</v>
      </c>
    </row>
    <row r="17" spans="1:23" x14ac:dyDescent="0.2">
      <c r="A17" s="117">
        <v>46129.439722222225</v>
      </c>
      <c r="B17" s="119">
        <v>46129</v>
      </c>
      <c r="C17" s="122">
        <v>0.43972222222222224</v>
      </c>
      <c r="D17" s="49" t="s">
        <v>76</v>
      </c>
      <c r="E17" s="49" t="s">
        <v>96</v>
      </c>
      <c r="F17" s="49" t="s">
        <v>97</v>
      </c>
      <c r="G17" s="49" t="s">
        <v>316</v>
      </c>
      <c r="H17" s="49" t="s">
        <v>80</v>
      </c>
      <c r="I17" s="49" t="s">
        <v>320</v>
      </c>
      <c r="J17" s="51">
        <v>1032.28</v>
      </c>
      <c r="K17" s="51">
        <v>1034</v>
      </c>
      <c r="L17" s="49">
        <v>1</v>
      </c>
      <c r="M17" s="51">
        <v>1034</v>
      </c>
      <c r="N17" s="51">
        <v>-1</v>
      </c>
      <c r="O17" s="51">
        <v>-0.72</v>
      </c>
      <c r="P17" s="49">
        <v>100</v>
      </c>
      <c r="Q17" s="49" t="s">
        <v>82</v>
      </c>
      <c r="R17" s="49" t="s">
        <v>0</v>
      </c>
      <c r="S17" s="119">
        <v>46129</v>
      </c>
      <c r="T17" s="49">
        <v>7100</v>
      </c>
      <c r="U17" s="49" t="s">
        <v>101</v>
      </c>
      <c r="V17" s="49">
        <v>455309658</v>
      </c>
      <c r="W17" s="49" t="s">
        <v>84</v>
      </c>
    </row>
    <row r="18" spans="1:23" x14ac:dyDescent="0.2">
      <c r="A18" s="117">
        <v>46129.439722222225</v>
      </c>
      <c r="B18" s="119">
        <v>46129</v>
      </c>
      <c r="C18" s="122">
        <v>0.43972222222222224</v>
      </c>
      <c r="D18" s="49" t="s">
        <v>76</v>
      </c>
      <c r="E18" s="49" t="s">
        <v>93</v>
      </c>
      <c r="F18" s="49" t="s">
        <v>94</v>
      </c>
      <c r="G18" s="49" t="s">
        <v>318</v>
      </c>
      <c r="H18" s="49" t="s">
        <v>80</v>
      </c>
      <c r="I18" s="49" t="s">
        <v>321</v>
      </c>
      <c r="J18" s="51">
        <v>-1270.72</v>
      </c>
      <c r="K18" s="51">
        <v>-1269</v>
      </c>
      <c r="L18" s="49">
        <v>1</v>
      </c>
      <c r="M18" s="51">
        <v>-1269</v>
      </c>
      <c r="N18" s="51">
        <v>-1</v>
      </c>
      <c r="O18" s="51">
        <v>-0.72</v>
      </c>
      <c r="P18" s="49">
        <v>100</v>
      </c>
      <c r="Q18" s="49" t="s">
        <v>82</v>
      </c>
      <c r="R18" s="49" t="s">
        <v>0</v>
      </c>
      <c r="S18" s="119">
        <v>46129</v>
      </c>
      <c r="T18" s="49">
        <v>7095</v>
      </c>
      <c r="U18" s="49" t="s">
        <v>101</v>
      </c>
      <c r="V18" s="49">
        <v>455309658</v>
      </c>
      <c r="W18" s="49" t="s">
        <v>84</v>
      </c>
    </row>
    <row r="19" spans="1:23" x14ac:dyDescent="0.2">
      <c r="A19" s="117">
        <v>46128.571736111109</v>
      </c>
      <c r="B19" s="119">
        <v>46128</v>
      </c>
      <c r="C19" s="122">
        <v>0.57173611111111111</v>
      </c>
      <c r="D19" s="49" t="s">
        <v>140</v>
      </c>
      <c r="E19" s="49" t="s">
        <v>289</v>
      </c>
      <c r="F19" s="49" t="s">
        <v>142</v>
      </c>
      <c r="G19" s="49" t="s">
        <v>142</v>
      </c>
      <c r="H19" s="49" t="s">
        <v>142</v>
      </c>
      <c r="I19" s="49" t="s">
        <v>290</v>
      </c>
      <c r="J19" s="51">
        <v>-50</v>
      </c>
      <c r="K19" s="51">
        <v>-50</v>
      </c>
      <c r="L19" s="49">
        <v>0</v>
      </c>
      <c r="N19" s="51">
        <v>0</v>
      </c>
      <c r="O19" s="51">
        <v>0</v>
      </c>
      <c r="Q19" s="49" t="s">
        <v>142</v>
      </c>
      <c r="R19" s="49" t="s">
        <v>142</v>
      </c>
      <c r="S19" s="119"/>
      <c r="U19" s="49" t="s">
        <v>142</v>
      </c>
      <c r="W19" s="49" t="s">
        <v>84</v>
      </c>
    </row>
    <row r="20" spans="1:23" x14ac:dyDescent="0.2">
      <c r="A20" s="117">
        <v>46127.578611111108</v>
      </c>
      <c r="B20" s="119">
        <v>46127</v>
      </c>
      <c r="C20" s="122">
        <v>0.57861111111111108</v>
      </c>
      <c r="D20" s="49" t="s">
        <v>76</v>
      </c>
      <c r="E20" s="49" t="s">
        <v>77</v>
      </c>
      <c r="F20" s="49" t="s">
        <v>78</v>
      </c>
      <c r="G20" s="49" t="s">
        <v>291</v>
      </c>
      <c r="H20" s="49" t="s">
        <v>80</v>
      </c>
      <c r="I20" s="49" t="s">
        <v>292</v>
      </c>
      <c r="J20" s="51">
        <v>11.28</v>
      </c>
      <c r="K20" s="51">
        <v>12</v>
      </c>
      <c r="L20" s="49">
        <v>1</v>
      </c>
      <c r="M20" s="51">
        <v>12</v>
      </c>
      <c r="N20" s="51">
        <v>0</v>
      </c>
      <c r="O20" s="51">
        <v>-0.72</v>
      </c>
      <c r="P20" s="49">
        <v>100</v>
      </c>
      <c r="Q20" s="49" t="s">
        <v>82</v>
      </c>
      <c r="R20" s="49" t="s">
        <v>0</v>
      </c>
      <c r="S20" s="119">
        <v>46127</v>
      </c>
      <c r="T20" s="49">
        <v>7060</v>
      </c>
      <c r="U20" s="49" t="s">
        <v>101</v>
      </c>
      <c r="V20" s="49">
        <v>454655076</v>
      </c>
      <c r="W20" s="49" t="s">
        <v>84</v>
      </c>
    </row>
    <row r="21" spans="1:23" x14ac:dyDescent="0.2">
      <c r="A21" s="117">
        <v>46127.578611111108</v>
      </c>
      <c r="B21" s="119">
        <v>46127</v>
      </c>
      <c r="C21" s="122">
        <v>0.57861111111111108</v>
      </c>
      <c r="D21" s="49" t="s">
        <v>76</v>
      </c>
      <c r="E21" s="49" t="s">
        <v>85</v>
      </c>
      <c r="F21" s="49" t="s">
        <v>86</v>
      </c>
      <c r="G21" s="49" t="s">
        <v>293</v>
      </c>
      <c r="H21" s="49" t="s">
        <v>80</v>
      </c>
      <c r="I21" s="49" t="s">
        <v>294</v>
      </c>
      <c r="J21" s="51">
        <v>-67.72</v>
      </c>
      <c r="K21" s="51">
        <v>-67</v>
      </c>
      <c r="L21" s="49">
        <v>1</v>
      </c>
      <c r="M21" s="51">
        <v>-67</v>
      </c>
      <c r="N21" s="51">
        <v>0</v>
      </c>
      <c r="O21" s="51">
        <v>-0.72</v>
      </c>
      <c r="P21" s="49">
        <v>100</v>
      </c>
      <c r="Q21" s="49" t="s">
        <v>82</v>
      </c>
      <c r="R21" s="49" t="s">
        <v>0</v>
      </c>
      <c r="S21" s="119">
        <v>46127</v>
      </c>
      <c r="T21" s="49">
        <v>7020</v>
      </c>
      <c r="U21" s="49" t="s">
        <v>101</v>
      </c>
      <c r="V21" s="49">
        <v>454655076</v>
      </c>
      <c r="W21" s="49" t="s">
        <v>84</v>
      </c>
    </row>
    <row r="22" spans="1:23" x14ac:dyDescent="0.2">
      <c r="A22" s="117">
        <v>46127.578611111108</v>
      </c>
      <c r="B22" s="119">
        <v>46127</v>
      </c>
      <c r="C22" s="122">
        <v>0.57861111111111108</v>
      </c>
      <c r="D22" s="49" t="s">
        <v>76</v>
      </c>
      <c r="E22" s="49" t="s">
        <v>77</v>
      </c>
      <c r="F22" s="49" t="s">
        <v>78</v>
      </c>
      <c r="G22" s="49" t="s">
        <v>291</v>
      </c>
      <c r="H22" s="49" t="s">
        <v>80</v>
      </c>
      <c r="I22" s="49" t="s">
        <v>292</v>
      </c>
      <c r="J22" s="51">
        <v>11.28</v>
      </c>
      <c r="K22" s="51">
        <v>12</v>
      </c>
      <c r="L22" s="49">
        <v>1</v>
      </c>
      <c r="M22" s="51">
        <v>12</v>
      </c>
      <c r="N22" s="51">
        <v>0</v>
      </c>
      <c r="O22" s="51">
        <v>-0.72</v>
      </c>
      <c r="P22" s="49">
        <v>100</v>
      </c>
      <c r="Q22" s="49" t="s">
        <v>82</v>
      </c>
      <c r="R22" s="49" t="s">
        <v>0</v>
      </c>
      <c r="S22" s="119">
        <v>46127</v>
      </c>
      <c r="T22" s="49">
        <v>7060</v>
      </c>
      <c r="U22" s="49" t="s">
        <v>101</v>
      </c>
      <c r="V22" s="49">
        <v>454655076</v>
      </c>
      <c r="W22" s="49" t="s">
        <v>84</v>
      </c>
    </row>
    <row r="23" spans="1:23" x14ac:dyDescent="0.2">
      <c r="A23" s="117">
        <v>46127.578611111108</v>
      </c>
      <c r="B23" s="119">
        <v>46127</v>
      </c>
      <c r="C23" s="122">
        <v>0.57861111111111108</v>
      </c>
      <c r="D23" s="49" t="s">
        <v>76</v>
      </c>
      <c r="E23" s="49" t="s">
        <v>85</v>
      </c>
      <c r="F23" s="49" t="s">
        <v>86</v>
      </c>
      <c r="G23" s="49" t="s">
        <v>293</v>
      </c>
      <c r="H23" s="49" t="s">
        <v>80</v>
      </c>
      <c r="I23" s="49" t="s">
        <v>294</v>
      </c>
      <c r="J23" s="51">
        <v>-67.72</v>
      </c>
      <c r="K23" s="51">
        <v>-67</v>
      </c>
      <c r="L23" s="49">
        <v>1</v>
      </c>
      <c r="M23" s="51">
        <v>-67</v>
      </c>
      <c r="N23" s="51">
        <v>0</v>
      </c>
      <c r="O23" s="51">
        <v>-0.72</v>
      </c>
      <c r="P23" s="49">
        <v>100</v>
      </c>
      <c r="Q23" s="49" t="s">
        <v>82</v>
      </c>
      <c r="R23" s="49" t="s">
        <v>0</v>
      </c>
      <c r="S23" s="119">
        <v>46127</v>
      </c>
      <c r="T23" s="49">
        <v>7020</v>
      </c>
      <c r="U23" s="49" t="s">
        <v>101</v>
      </c>
      <c r="V23" s="49">
        <v>454655076</v>
      </c>
      <c r="W23" s="49" t="s">
        <v>84</v>
      </c>
    </row>
    <row r="24" spans="1:23" x14ac:dyDescent="0.2">
      <c r="A24" s="117">
        <v>46127.574733796297</v>
      </c>
      <c r="B24" s="119">
        <v>46127</v>
      </c>
      <c r="C24" s="122">
        <v>0.57473379629629628</v>
      </c>
      <c r="D24" s="49" t="s">
        <v>76</v>
      </c>
      <c r="E24" s="49" t="s">
        <v>77</v>
      </c>
      <c r="F24" s="49" t="s">
        <v>78</v>
      </c>
      <c r="G24" s="49" t="s">
        <v>295</v>
      </c>
      <c r="H24" s="49" t="s">
        <v>80</v>
      </c>
      <c r="I24" s="49" t="s">
        <v>296</v>
      </c>
      <c r="J24" s="51">
        <v>129.28</v>
      </c>
      <c r="K24" s="51">
        <v>130</v>
      </c>
      <c r="L24" s="49">
        <v>1</v>
      </c>
      <c r="M24" s="51">
        <v>130</v>
      </c>
      <c r="N24" s="51">
        <v>0</v>
      </c>
      <c r="O24" s="51">
        <v>-0.72</v>
      </c>
      <c r="P24" s="49">
        <v>100</v>
      </c>
      <c r="Q24" s="49" t="s">
        <v>82</v>
      </c>
      <c r="R24" s="49" t="s">
        <v>0</v>
      </c>
      <c r="S24" s="119">
        <v>46127</v>
      </c>
      <c r="T24" s="49">
        <v>6920</v>
      </c>
      <c r="U24" s="49" t="s">
        <v>83</v>
      </c>
      <c r="V24" s="49">
        <v>454558051</v>
      </c>
      <c r="W24" s="49" t="s">
        <v>84</v>
      </c>
    </row>
    <row r="25" spans="1:23" x14ac:dyDescent="0.2">
      <c r="A25" s="117">
        <v>46127.574733796297</v>
      </c>
      <c r="B25" s="119">
        <v>46127</v>
      </c>
      <c r="C25" s="122">
        <v>0.57473379629629628</v>
      </c>
      <c r="D25" s="49" t="s">
        <v>76</v>
      </c>
      <c r="E25" s="49" t="s">
        <v>85</v>
      </c>
      <c r="F25" s="49" t="s">
        <v>86</v>
      </c>
      <c r="G25" s="49" t="s">
        <v>297</v>
      </c>
      <c r="H25" s="49" t="s">
        <v>80</v>
      </c>
      <c r="I25" s="49" t="s">
        <v>298</v>
      </c>
      <c r="J25" s="51">
        <v>-375.72</v>
      </c>
      <c r="K25" s="51">
        <v>-375</v>
      </c>
      <c r="L25" s="49">
        <v>1</v>
      </c>
      <c r="M25" s="51">
        <v>-375</v>
      </c>
      <c r="N25" s="51">
        <v>0</v>
      </c>
      <c r="O25" s="51">
        <v>-0.72</v>
      </c>
      <c r="P25" s="49">
        <v>100</v>
      </c>
      <c r="Q25" s="49" t="s">
        <v>82</v>
      </c>
      <c r="R25" s="49" t="s">
        <v>0</v>
      </c>
      <c r="S25" s="119">
        <v>46127</v>
      </c>
      <c r="T25" s="49">
        <v>6960</v>
      </c>
      <c r="U25" s="49" t="s">
        <v>83</v>
      </c>
      <c r="V25" s="49">
        <v>454558051</v>
      </c>
      <c r="W25" s="49" t="s">
        <v>84</v>
      </c>
    </row>
    <row r="26" spans="1:23" x14ac:dyDescent="0.2">
      <c r="A26" s="117">
        <v>46127.574733796297</v>
      </c>
      <c r="B26" s="119">
        <v>46127</v>
      </c>
      <c r="C26" s="122">
        <v>0.57473379629629628</v>
      </c>
      <c r="D26" s="49" t="s">
        <v>76</v>
      </c>
      <c r="E26" s="49" t="s">
        <v>77</v>
      </c>
      <c r="F26" s="49" t="s">
        <v>78</v>
      </c>
      <c r="G26" s="49" t="s">
        <v>295</v>
      </c>
      <c r="H26" s="49" t="s">
        <v>80</v>
      </c>
      <c r="I26" s="49" t="s">
        <v>296</v>
      </c>
      <c r="J26" s="51">
        <v>129.28</v>
      </c>
      <c r="K26" s="51">
        <v>130</v>
      </c>
      <c r="L26" s="49">
        <v>1</v>
      </c>
      <c r="M26" s="51">
        <v>130</v>
      </c>
      <c r="N26" s="51">
        <v>0</v>
      </c>
      <c r="O26" s="51">
        <v>-0.72</v>
      </c>
      <c r="P26" s="49">
        <v>100</v>
      </c>
      <c r="Q26" s="49" t="s">
        <v>82</v>
      </c>
      <c r="R26" s="49" t="s">
        <v>0</v>
      </c>
      <c r="S26" s="119">
        <v>46127</v>
      </c>
      <c r="T26" s="49">
        <v>6920</v>
      </c>
      <c r="U26" s="49" t="s">
        <v>83</v>
      </c>
      <c r="V26" s="49">
        <v>454558051</v>
      </c>
      <c r="W26" s="49" t="s">
        <v>84</v>
      </c>
    </row>
    <row r="27" spans="1:23" x14ac:dyDescent="0.2">
      <c r="A27" s="117">
        <v>46127.574733796297</v>
      </c>
      <c r="B27" s="119">
        <v>46127</v>
      </c>
      <c r="C27" s="122">
        <v>0.57473379629629628</v>
      </c>
      <c r="D27" s="49" t="s">
        <v>76</v>
      </c>
      <c r="E27" s="49" t="s">
        <v>85</v>
      </c>
      <c r="F27" s="49" t="s">
        <v>86</v>
      </c>
      <c r="G27" s="49" t="s">
        <v>297</v>
      </c>
      <c r="H27" s="49" t="s">
        <v>80</v>
      </c>
      <c r="I27" s="49" t="s">
        <v>298</v>
      </c>
      <c r="J27" s="51">
        <v>-375.72</v>
      </c>
      <c r="K27" s="51">
        <v>-375</v>
      </c>
      <c r="L27" s="49">
        <v>1</v>
      </c>
      <c r="M27" s="51">
        <v>-375</v>
      </c>
      <c r="N27" s="51">
        <v>0</v>
      </c>
      <c r="O27" s="51">
        <v>-0.72</v>
      </c>
      <c r="P27" s="49">
        <v>100</v>
      </c>
      <c r="Q27" s="49" t="s">
        <v>82</v>
      </c>
      <c r="R27" s="49" t="s">
        <v>0</v>
      </c>
      <c r="S27" s="119">
        <v>46127</v>
      </c>
      <c r="T27" s="49">
        <v>6960</v>
      </c>
      <c r="U27" s="49" t="s">
        <v>83</v>
      </c>
      <c r="V27" s="49">
        <v>454558051</v>
      </c>
      <c r="W27" s="49" t="s">
        <v>84</v>
      </c>
    </row>
    <row r="28" spans="1:23" x14ac:dyDescent="0.2">
      <c r="A28" s="117">
        <v>46127.494143518517</v>
      </c>
      <c r="B28" s="119">
        <v>46127</v>
      </c>
      <c r="C28" s="122">
        <v>0.49414351851851851</v>
      </c>
      <c r="D28" s="49" t="s">
        <v>76</v>
      </c>
      <c r="E28" s="49" t="s">
        <v>93</v>
      </c>
      <c r="F28" s="49" t="s">
        <v>94</v>
      </c>
      <c r="G28" s="49" t="s">
        <v>295</v>
      </c>
      <c r="H28" s="49" t="s">
        <v>80</v>
      </c>
      <c r="I28" s="49" t="s">
        <v>299</v>
      </c>
      <c r="J28" s="51">
        <v>-167.45</v>
      </c>
      <c r="K28" s="51">
        <v>-164</v>
      </c>
      <c r="L28" s="49">
        <v>2</v>
      </c>
      <c r="M28" s="51">
        <v>-82</v>
      </c>
      <c r="N28" s="51">
        <v>-2</v>
      </c>
      <c r="O28" s="51">
        <v>-1.45</v>
      </c>
      <c r="P28" s="49">
        <v>100</v>
      </c>
      <c r="Q28" s="49" t="s">
        <v>82</v>
      </c>
      <c r="R28" s="49" t="s">
        <v>0</v>
      </c>
      <c r="S28" s="119">
        <v>46127</v>
      </c>
      <c r="T28" s="49">
        <v>6920</v>
      </c>
      <c r="U28" s="49" t="s">
        <v>83</v>
      </c>
      <c r="V28" s="49">
        <v>454551885</v>
      </c>
      <c r="W28" s="49" t="s">
        <v>84</v>
      </c>
    </row>
    <row r="29" spans="1:23" x14ac:dyDescent="0.2">
      <c r="A29" s="117">
        <v>46127.494143518517</v>
      </c>
      <c r="B29" s="119">
        <v>46127</v>
      </c>
      <c r="C29" s="122">
        <v>0.49414351851851851</v>
      </c>
      <c r="D29" s="49" t="s">
        <v>76</v>
      </c>
      <c r="E29" s="49" t="s">
        <v>93</v>
      </c>
      <c r="F29" s="49" t="s">
        <v>94</v>
      </c>
      <c r="G29" s="49" t="s">
        <v>291</v>
      </c>
      <c r="H29" s="49" t="s">
        <v>80</v>
      </c>
      <c r="I29" s="49" t="s">
        <v>300</v>
      </c>
      <c r="J29" s="51">
        <v>-59.45</v>
      </c>
      <c r="K29" s="51">
        <v>-56</v>
      </c>
      <c r="L29" s="49">
        <v>2</v>
      </c>
      <c r="M29" s="51">
        <v>-28</v>
      </c>
      <c r="N29" s="51">
        <v>-2</v>
      </c>
      <c r="O29" s="51">
        <v>-1.45</v>
      </c>
      <c r="P29" s="49">
        <v>100</v>
      </c>
      <c r="Q29" s="49" t="s">
        <v>82</v>
      </c>
      <c r="R29" s="49" t="s">
        <v>0</v>
      </c>
      <c r="S29" s="119">
        <v>46127</v>
      </c>
      <c r="T29" s="49">
        <v>7060</v>
      </c>
      <c r="U29" s="49" t="s">
        <v>101</v>
      </c>
      <c r="V29" s="49">
        <v>454551885</v>
      </c>
      <c r="W29" s="49" t="s">
        <v>84</v>
      </c>
    </row>
    <row r="30" spans="1:23" x14ac:dyDescent="0.2">
      <c r="A30" s="117">
        <v>46127.494143518517</v>
      </c>
      <c r="B30" s="119">
        <v>46127</v>
      </c>
      <c r="C30" s="122">
        <v>0.49414351851851851</v>
      </c>
      <c r="D30" s="49" t="s">
        <v>76</v>
      </c>
      <c r="E30" s="49" t="s">
        <v>96</v>
      </c>
      <c r="F30" s="49" t="s">
        <v>97</v>
      </c>
      <c r="G30" s="49" t="s">
        <v>297</v>
      </c>
      <c r="H30" s="49" t="s">
        <v>80</v>
      </c>
      <c r="I30" s="49" t="s">
        <v>301</v>
      </c>
      <c r="J30" s="51">
        <v>466.54</v>
      </c>
      <c r="K30" s="51">
        <v>470</v>
      </c>
      <c r="L30" s="49">
        <v>2</v>
      </c>
      <c r="M30" s="51">
        <v>235</v>
      </c>
      <c r="N30" s="51">
        <v>-2</v>
      </c>
      <c r="O30" s="51">
        <v>-1.46</v>
      </c>
      <c r="P30" s="49">
        <v>100</v>
      </c>
      <c r="Q30" s="49" t="s">
        <v>82</v>
      </c>
      <c r="R30" s="49" t="s">
        <v>0</v>
      </c>
      <c r="S30" s="119">
        <v>46127</v>
      </c>
      <c r="T30" s="49">
        <v>6960</v>
      </c>
      <c r="U30" s="49" t="s">
        <v>83</v>
      </c>
      <c r="V30" s="49">
        <v>454551885</v>
      </c>
      <c r="W30" s="49" t="s">
        <v>84</v>
      </c>
    </row>
    <row r="31" spans="1:23" x14ac:dyDescent="0.2">
      <c r="A31" s="117">
        <v>46127.494143518517</v>
      </c>
      <c r="B31" s="119">
        <v>46127</v>
      </c>
      <c r="C31" s="122">
        <v>0.49414351851851851</v>
      </c>
      <c r="D31" s="49" t="s">
        <v>76</v>
      </c>
      <c r="E31" s="49" t="s">
        <v>96</v>
      </c>
      <c r="F31" s="49" t="s">
        <v>97</v>
      </c>
      <c r="G31" s="49" t="s">
        <v>293</v>
      </c>
      <c r="H31" s="49" t="s">
        <v>80</v>
      </c>
      <c r="I31" s="49" t="s">
        <v>302</v>
      </c>
      <c r="J31" s="51">
        <v>296.54000000000002</v>
      </c>
      <c r="K31" s="51">
        <v>300</v>
      </c>
      <c r="L31" s="49">
        <v>2</v>
      </c>
      <c r="M31" s="51">
        <v>150</v>
      </c>
      <c r="N31" s="51">
        <v>-2</v>
      </c>
      <c r="O31" s="51">
        <v>-1.46</v>
      </c>
      <c r="P31" s="49">
        <v>100</v>
      </c>
      <c r="Q31" s="49" t="s">
        <v>82</v>
      </c>
      <c r="R31" s="49" t="s">
        <v>0</v>
      </c>
      <c r="S31" s="119">
        <v>46127</v>
      </c>
      <c r="T31" s="49">
        <v>7020</v>
      </c>
      <c r="U31" s="49" t="s">
        <v>101</v>
      </c>
      <c r="V31" s="49">
        <v>454551885</v>
      </c>
      <c r="W31" s="49" t="s">
        <v>84</v>
      </c>
    </row>
    <row r="32" spans="1:23" x14ac:dyDescent="0.2">
      <c r="A32" s="117">
        <v>46126.69394675926</v>
      </c>
      <c r="B32" s="119">
        <v>46126</v>
      </c>
      <c r="C32" s="122">
        <v>0.6939467592592593</v>
      </c>
      <c r="D32" s="49" t="s">
        <v>76</v>
      </c>
      <c r="E32" s="49" t="s">
        <v>85</v>
      </c>
      <c r="F32" s="49" t="s">
        <v>86</v>
      </c>
      <c r="G32" s="49" t="s">
        <v>243</v>
      </c>
      <c r="H32" s="49" t="s">
        <v>80</v>
      </c>
      <c r="I32" s="49" t="s">
        <v>244</v>
      </c>
      <c r="J32" s="51">
        <v>-75.72</v>
      </c>
      <c r="K32" s="51">
        <v>-75</v>
      </c>
      <c r="L32" s="49">
        <v>1</v>
      </c>
      <c r="M32" s="51">
        <v>-75</v>
      </c>
      <c r="N32" s="51">
        <v>0</v>
      </c>
      <c r="O32" s="51">
        <v>-0.72</v>
      </c>
      <c r="P32" s="49">
        <v>100</v>
      </c>
      <c r="Q32" s="49" t="s">
        <v>82</v>
      </c>
      <c r="R32" s="49" t="s">
        <v>0</v>
      </c>
      <c r="S32" s="119">
        <v>46126</v>
      </c>
      <c r="T32" s="49">
        <v>6980</v>
      </c>
      <c r="U32" s="49" t="s">
        <v>101</v>
      </c>
      <c r="V32" s="49">
        <v>454367107</v>
      </c>
      <c r="W32" s="49" t="s">
        <v>84</v>
      </c>
    </row>
    <row r="33" spans="1:23" x14ac:dyDescent="0.2">
      <c r="A33" s="117">
        <v>46126.69394675926</v>
      </c>
      <c r="B33" s="119">
        <v>46126</v>
      </c>
      <c r="C33" s="122">
        <v>0.6939467592592593</v>
      </c>
      <c r="D33" s="49" t="s">
        <v>76</v>
      </c>
      <c r="E33" s="49" t="s">
        <v>77</v>
      </c>
      <c r="F33" s="49" t="s">
        <v>78</v>
      </c>
      <c r="G33" s="49" t="s">
        <v>245</v>
      </c>
      <c r="H33" s="49" t="s">
        <v>80</v>
      </c>
      <c r="I33" s="49" t="s">
        <v>246</v>
      </c>
      <c r="J33" s="51">
        <v>459.28</v>
      </c>
      <c r="K33" s="51">
        <v>460</v>
      </c>
      <c r="L33" s="49">
        <v>1</v>
      </c>
      <c r="M33" s="51">
        <v>460</v>
      </c>
      <c r="N33" s="51">
        <v>0</v>
      </c>
      <c r="O33" s="51">
        <v>-0.72</v>
      </c>
      <c r="P33" s="49">
        <v>100</v>
      </c>
      <c r="Q33" s="49" t="s">
        <v>82</v>
      </c>
      <c r="R33" s="49" t="s">
        <v>0</v>
      </c>
      <c r="S33" s="119">
        <v>46126</v>
      </c>
      <c r="T33" s="49">
        <v>6965</v>
      </c>
      <c r="U33" s="49" t="s">
        <v>101</v>
      </c>
      <c r="V33" s="49">
        <v>454367107</v>
      </c>
      <c r="W33" s="49" t="s">
        <v>84</v>
      </c>
    </row>
    <row r="34" spans="1:23" x14ac:dyDescent="0.2">
      <c r="A34" s="117">
        <v>46126.572638888887</v>
      </c>
      <c r="B34" s="119">
        <v>46126</v>
      </c>
      <c r="C34" s="122">
        <v>0.57263888888888892</v>
      </c>
      <c r="D34" s="49" t="s">
        <v>76</v>
      </c>
      <c r="E34" s="49" t="s">
        <v>96</v>
      </c>
      <c r="F34" s="49" t="s">
        <v>97</v>
      </c>
      <c r="G34" s="49" t="s">
        <v>243</v>
      </c>
      <c r="H34" s="49" t="s">
        <v>80</v>
      </c>
      <c r="I34" s="49" t="s">
        <v>247</v>
      </c>
      <c r="J34" s="51">
        <v>160.28</v>
      </c>
      <c r="K34" s="51">
        <v>162</v>
      </c>
      <c r="L34" s="49">
        <v>1</v>
      </c>
      <c r="M34" s="51">
        <v>162</v>
      </c>
      <c r="N34" s="51">
        <v>-1</v>
      </c>
      <c r="O34" s="51">
        <v>-0.72</v>
      </c>
      <c r="P34" s="49">
        <v>100</v>
      </c>
      <c r="Q34" s="49" t="s">
        <v>82</v>
      </c>
      <c r="R34" s="49" t="s">
        <v>0</v>
      </c>
      <c r="S34" s="119">
        <v>46126</v>
      </c>
      <c r="T34" s="49">
        <v>6980</v>
      </c>
      <c r="U34" s="49" t="s">
        <v>101</v>
      </c>
      <c r="V34" s="49">
        <v>454249461</v>
      </c>
      <c r="W34" s="49" t="s">
        <v>84</v>
      </c>
    </row>
    <row r="35" spans="1:23" x14ac:dyDescent="0.2">
      <c r="A35" s="117">
        <v>46126.572638888887</v>
      </c>
      <c r="B35" s="119">
        <v>46126</v>
      </c>
      <c r="C35" s="122">
        <v>0.57263888888888892</v>
      </c>
      <c r="D35" s="49" t="s">
        <v>76</v>
      </c>
      <c r="E35" s="49" t="s">
        <v>93</v>
      </c>
      <c r="F35" s="49" t="s">
        <v>94</v>
      </c>
      <c r="G35" s="49" t="s">
        <v>245</v>
      </c>
      <c r="H35" s="49" t="s">
        <v>80</v>
      </c>
      <c r="I35" s="49" t="s">
        <v>248</v>
      </c>
      <c r="J35" s="51">
        <v>-493.72</v>
      </c>
      <c r="K35" s="51">
        <v>-492</v>
      </c>
      <c r="L35" s="49">
        <v>1</v>
      </c>
      <c r="M35" s="51">
        <v>-492</v>
      </c>
      <c r="N35" s="51">
        <v>-1</v>
      </c>
      <c r="O35" s="51">
        <v>-0.72</v>
      </c>
      <c r="P35" s="49">
        <v>100</v>
      </c>
      <c r="Q35" s="49" t="s">
        <v>82</v>
      </c>
      <c r="R35" s="49" t="s">
        <v>0</v>
      </c>
      <c r="S35" s="119">
        <v>46126</v>
      </c>
      <c r="T35" s="49">
        <v>6965</v>
      </c>
      <c r="U35" s="49" t="s">
        <v>101</v>
      </c>
      <c r="V35" s="49">
        <v>454249461</v>
      </c>
      <c r="W35" s="49" t="s">
        <v>84</v>
      </c>
    </row>
    <row r="36" spans="1:23" x14ac:dyDescent="0.2">
      <c r="A36" s="117">
        <v>46126.485324074078</v>
      </c>
      <c r="B36" s="119">
        <v>46126</v>
      </c>
      <c r="C36" s="122">
        <v>0.48532407407407407</v>
      </c>
      <c r="D36" s="49" t="s">
        <v>76</v>
      </c>
      <c r="E36" s="49" t="s">
        <v>77</v>
      </c>
      <c r="F36" s="49" t="s">
        <v>78</v>
      </c>
      <c r="G36" s="49" t="s">
        <v>245</v>
      </c>
      <c r="H36" s="49" t="s">
        <v>80</v>
      </c>
      <c r="I36" s="49" t="s">
        <v>249</v>
      </c>
      <c r="J36" s="51">
        <v>156.28</v>
      </c>
      <c r="K36" s="51">
        <v>157</v>
      </c>
      <c r="L36" s="49">
        <v>1</v>
      </c>
      <c r="M36" s="51">
        <v>157</v>
      </c>
      <c r="N36" s="51">
        <v>0</v>
      </c>
      <c r="O36" s="51">
        <v>-0.72</v>
      </c>
      <c r="P36" s="49">
        <v>100</v>
      </c>
      <c r="Q36" s="49" t="s">
        <v>82</v>
      </c>
      <c r="R36" s="49" t="s">
        <v>0</v>
      </c>
      <c r="S36" s="119">
        <v>46126</v>
      </c>
      <c r="T36" s="49">
        <v>6965</v>
      </c>
      <c r="U36" s="49" t="s">
        <v>101</v>
      </c>
      <c r="V36" s="49">
        <v>454137172</v>
      </c>
      <c r="W36" s="49" t="s">
        <v>84</v>
      </c>
    </row>
    <row r="37" spans="1:23" x14ac:dyDescent="0.2">
      <c r="A37" s="117">
        <v>46126.485324074078</v>
      </c>
      <c r="B37" s="119">
        <v>46126</v>
      </c>
      <c r="C37" s="122">
        <v>0.48532407407407407</v>
      </c>
      <c r="D37" s="49" t="s">
        <v>76</v>
      </c>
      <c r="E37" s="49" t="s">
        <v>85</v>
      </c>
      <c r="F37" s="49" t="s">
        <v>86</v>
      </c>
      <c r="G37" s="49" t="s">
        <v>250</v>
      </c>
      <c r="H37" s="49" t="s">
        <v>80</v>
      </c>
      <c r="I37" s="49" t="s">
        <v>251</v>
      </c>
      <c r="J37" s="51">
        <v>-367.72</v>
      </c>
      <c r="K37" s="51">
        <v>-367</v>
      </c>
      <c r="L37" s="49">
        <v>1</v>
      </c>
      <c r="M37" s="51">
        <v>-367</v>
      </c>
      <c r="N37" s="51">
        <v>0</v>
      </c>
      <c r="O37" s="51">
        <v>-0.72</v>
      </c>
      <c r="P37" s="49">
        <v>100</v>
      </c>
      <c r="Q37" s="49" t="s">
        <v>82</v>
      </c>
      <c r="R37" s="49" t="s">
        <v>0</v>
      </c>
      <c r="S37" s="119">
        <v>46126</v>
      </c>
      <c r="T37" s="49">
        <v>6950</v>
      </c>
      <c r="U37" s="49" t="s">
        <v>101</v>
      </c>
      <c r="V37" s="49">
        <v>454137172</v>
      </c>
      <c r="W37" s="49" t="s">
        <v>84</v>
      </c>
    </row>
    <row r="38" spans="1:23" x14ac:dyDescent="0.2">
      <c r="A38" s="117">
        <v>46126.485254629632</v>
      </c>
      <c r="B38" s="119">
        <v>46126</v>
      </c>
      <c r="C38" s="122">
        <v>0.48525462962962962</v>
      </c>
      <c r="D38" s="49" t="s">
        <v>76</v>
      </c>
      <c r="E38" s="49" t="s">
        <v>77</v>
      </c>
      <c r="F38" s="49" t="s">
        <v>78</v>
      </c>
      <c r="G38" s="49" t="s">
        <v>245</v>
      </c>
      <c r="H38" s="49" t="s">
        <v>80</v>
      </c>
      <c r="I38" s="49" t="s">
        <v>252</v>
      </c>
      <c r="J38" s="51">
        <v>159.28</v>
      </c>
      <c r="K38" s="51">
        <v>160</v>
      </c>
      <c r="L38" s="49">
        <v>1</v>
      </c>
      <c r="M38" s="51">
        <v>160</v>
      </c>
      <c r="N38" s="51">
        <v>0</v>
      </c>
      <c r="O38" s="51">
        <v>-0.72</v>
      </c>
      <c r="P38" s="49">
        <v>100</v>
      </c>
      <c r="Q38" s="49" t="s">
        <v>82</v>
      </c>
      <c r="R38" s="49" t="s">
        <v>0</v>
      </c>
      <c r="S38" s="119">
        <v>46126</v>
      </c>
      <c r="T38" s="49">
        <v>6965</v>
      </c>
      <c r="U38" s="49" t="s">
        <v>101</v>
      </c>
      <c r="V38" s="49">
        <v>454137172</v>
      </c>
      <c r="W38" s="49" t="s">
        <v>84</v>
      </c>
    </row>
    <row r="39" spans="1:23" x14ac:dyDescent="0.2">
      <c r="A39" s="117">
        <v>46126.485254629632</v>
      </c>
      <c r="B39" s="119">
        <v>46126</v>
      </c>
      <c r="C39" s="122">
        <v>0.48525462962962962</v>
      </c>
      <c r="D39" s="49" t="s">
        <v>76</v>
      </c>
      <c r="E39" s="49" t="s">
        <v>85</v>
      </c>
      <c r="F39" s="49" t="s">
        <v>86</v>
      </c>
      <c r="G39" s="49" t="s">
        <v>250</v>
      </c>
      <c r="H39" s="49" t="s">
        <v>80</v>
      </c>
      <c r="I39" s="49" t="s">
        <v>253</v>
      </c>
      <c r="J39" s="51">
        <v>-370.72</v>
      </c>
      <c r="K39" s="51">
        <v>-370</v>
      </c>
      <c r="L39" s="49">
        <v>1</v>
      </c>
      <c r="M39" s="51">
        <v>-370</v>
      </c>
      <c r="N39" s="51">
        <v>0</v>
      </c>
      <c r="O39" s="51">
        <v>-0.72</v>
      </c>
      <c r="P39" s="49">
        <v>100</v>
      </c>
      <c r="Q39" s="49" t="s">
        <v>82</v>
      </c>
      <c r="R39" s="49" t="s">
        <v>0</v>
      </c>
      <c r="S39" s="119">
        <v>46126</v>
      </c>
      <c r="T39" s="49">
        <v>6950</v>
      </c>
      <c r="U39" s="49" t="s">
        <v>101</v>
      </c>
      <c r="V39" s="49">
        <v>454137172</v>
      </c>
      <c r="W39" s="49" t="s">
        <v>84</v>
      </c>
    </row>
    <row r="40" spans="1:23" x14ac:dyDescent="0.2">
      <c r="A40" s="117">
        <v>46126.479814814818</v>
      </c>
      <c r="B40" s="119">
        <v>46126</v>
      </c>
      <c r="C40" s="122">
        <v>0.47981481481481481</v>
      </c>
      <c r="D40" s="49" t="s">
        <v>76</v>
      </c>
      <c r="E40" s="49" t="s">
        <v>93</v>
      </c>
      <c r="F40" s="49" t="s">
        <v>94</v>
      </c>
      <c r="G40" s="49" t="s">
        <v>245</v>
      </c>
      <c r="H40" s="49" t="s">
        <v>80</v>
      </c>
      <c r="I40" s="49" t="s">
        <v>254</v>
      </c>
      <c r="J40" s="51">
        <v>-171.72</v>
      </c>
      <c r="K40" s="51">
        <v>-170</v>
      </c>
      <c r="L40" s="49">
        <v>1</v>
      </c>
      <c r="M40" s="51">
        <v>-170</v>
      </c>
      <c r="N40" s="51">
        <v>-1</v>
      </c>
      <c r="O40" s="51">
        <v>-0.72</v>
      </c>
      <c r="P40" s="49">
        <v>100</v>
      </c>
      <c r="Q40" s="49" t="s">
        <v>82</v>
      </c>
      <c r="R40" s="49" t="s">
        <v>0</v>
      </c>
      <c r="S40" s="119">
        <v>46126</v>
      </c>
      <c r="T40" s="49">
        <v>6965</v>
      </c>
      <c r="U40" s="49" t="s">
        <v>101</v>
      </c>
      <c r="V40" s="49">
        <v>454131070</v>
      </c>
      <c r="W40" s="49" t="s">
        <v>84</v>
      </c>
    </row>
    <row r="41" spans="1:23" x14ac:dyDescent="0.2">
      <c r="A41" s="117">
        <v>46126.479814814818</v>
      </c>
      <c r="B41" s="119">
        <v>46126</v>
      </c>
      <c r="C41" s="122">
        <v>0.47981481481481481</v>
      </c>
      <c r="D41" s="49" t="s">
        <v>76</v>
      </c>
      <c r="E41" s="49" t="s">
        <v>96</v>
      </c>
      <c r="F41" s="49" t="s">
        <v>97</v>
      </c>
      <c r="G41" s="49" t="s">
        <v>250</v>
      </c>
      <c r="H41" s="49" t="s">
        <v>80</v>
      </c>
      <c r="I41" s="49" t="s">
        <v>255</v>
      </c>
      <c r="J41" s="51">
        <v>393.28</v>
      </c>
      <c r="K41" s="51">
        <v>395</v>
      </c>
      <c r="L41" s="49">
        <v>1</v>
      </c>
      <c r="M41" s="51">
        <v>395</v>
      </c>
      <c r="N41" s="51">
        <v>-1</v>
      </c>
      <c r="O41" s="51">
        <v>-0.72</v>
      </c>
      <c r="P41" s="49">
        <v>100</v>
      </c>
      <c r="Q41" s="49" t="s">
        <v>82</v>
      </c>
      <c r="R41" s="49" t="s">
        <v>0</v>
      </c>
      <c r="S41" s="119">
        <v>46126</v>
      </c>
      <c r="T41" s="49">
        <v>6950</v>
      </c>
      <c r="U41" s="49" t="s">
        <v>101</v>
      </c>
      <c r="V41" s="49">
        <v>454131070</v>
      </c>
      <c r="W41" s="49" t="s">
        <v>84</v>
      </c>
    </row>
    <row r="42" spans="1:23" x14ac:dyDescent="0.2">
      <c r="A42" s="117">
        <v>46126.479814814818</v>
      </c>
      <c r="B42" s="119">
        <v>46126</v>
      </c>
      <c r="C42" s="122">
        <v>0.47981481481481481</v>
      </c>
      <c r="D42" s="49" t="s">
        <v>76</v>
      </c>
      <c r="E42" s="49" t="s">
        <v>93</v>
      </c>
      <c r="F42" s="49" t="s">
        <v>94</v>
      </c>
      <c r="G42" s="49" t="s">
        <v>245</v>
      </c>
      <c r="H42" s="49" t="s">
        <v>80</v>
      </c>
      <c r="I42" s="49" t="s">
        <v>254</v>
      </c>
      <c r="J42" s="51">
        <v>-171.72</v>
      </c>
      <c r="K42" s="51">
        <v>-170</v>
      </c>
      <c r="L42" s="49">
        <v>1</v>
      </c>
      <c r="M42" s="51">
        <v>-170</v>
      </c>
      <c r="N42" s="51">
        <v>-1</v>
      </c>
      <c r="O42" s="51">
        <v>-0.72</v>
      </c>
      <c r="P42" s="49">
        <v>100</v>
      </c>
      <c r="Q42" s="49" t="s">
        <v>82</v>
      </c>
      <c r="R42" s="49" t="s">
        <v>0</v>
      </c>
      <c r="S42" s="119">
        <v>46126</v>
      </c>
      <c r="T42" s="49">
        <v>6965</v>
      </c>
      <c r="U42" s="49" t="s">
        <v>101</v>
      </c>
      <c r="V42" s="49">
        <v>454131070</v>
      </c>
      <c r="W42" s="49" t="s">
        <v>84</v>
      </c>
    </row>
    <row r="43" spans="1:23" x14ac:dyDescent="0.2">
      <c r="A43" s="117">
        <v>46126.479814814818</v>
      </c>
      <c r="B43" s="119">
        <v>46126</v>
      </c>
      <c r="C43" s="122">
        <v>0.47981481481481481</v>
      </c>
      <c r="D43" s="49" t="s">
        <v>76</v>
      </c>
      <c r="E43" s="49" t="s">
        <v>96</v>
      </c>
      <c r="F43" s="49" t="s">
        <v>97</v>
      </c>
      <c r="G43" s="49" t="s">
        <v>250</v>
      </c>
      <c r="H43" s="49" t="s">
        <v>80</v>
      </c>
      <c r="I43" s="49" t="s">
        <v>255</v>
      </c>
      <c r="J43" s="51">
        <v>393.28</v>
      </c>
      <c r="K43" s="51">
        <v>395</v>
      </c>
      <c r="L43" s="49">
        <v>1</v>
      </c>
      <c r="M43" s="51">
        <v>395</v>
      </c>
      <c r="N43" s="51">
        <v>-1</v>
      </c>
      <c r="O43" s="51">
        <v>-0.72</v>
      </c>
      <c r="P43" s="49">
        <v>100</v>
      </c>
      <c r="Q43" s="49" t="s">
        <v>82</v>
      </c>
      <c r="R43" s="49" t="s">
        <v>0</v>
      </c>
      <c r="S43" s="119">
        <v>46126</v>
      </c>
      <c r="T43" s="49">
        <v>6950</v>
      </c>
      <c r="U43" s="49" t="s">
        <v>101</v>
      </c>
      <c r="V43" s="49">
        <v>454131070</v>
      </c>
      <c r="W43" s="49" t="s">
        <v>84</v>
      </c>
    </row>
    <row r="44" spans="1:23" x14ac:dyDescent="0.2">
      <c r="A44" s="117">
        <v>46123.676481481481</v>
      </c>
      <c r="B44" s="119">
        <v>46123</v>
      </c>
      <c r="C44" s="122">
        <v>0.67648148148148146</v>
      </c>
      <c r="D44" s="49" t="s">
        <v>140</v>
      </c>
      <c r="E44" s="49" t="s">
        <v>145</v>
      </c>
      <c r="F44" s="49" t="s">
        <v>142</v>
      </c>
      <c r="G44" s="49" t="s">
        <v>142</v>
      </c>
      <c r="H44" s="49" t="s">
        <v>142</v>
      </c>
      <c r="I44" s="49" t="s">
        <v>146</v>
      </c>
      <c r="J44" s="51">
        <v>0.11</v>
      </c>
      <c r="K44" s="51">
        <v>0.11</v>
      </c>
      <c r="L44" s="49">
        <v>0</v>
      </c>
      <c r="N44" s="51">
        <v>0</v>
      </c>
      <c r="O44" s="51">
        <v>0</v>
      </c>
      <c r="Q44" s="49" t="s">
        <v>142</v>
      </c>
      <c r="R44" s="49" t="s">
        <v>142</v>
      </c>
      <c r="S44" s="119"/>
      <c r="U44" s="49" t="s">
        <v>142</v>
      </c>
      <c r="W44" s="49" t="s">
        <v>84</v>
      </c>
    </row>
    <row r="45" spans="1:23" x14ac:dyDescent="0.2">
      <c r="A45" s="117">
        <v>46121.609305555554</v>
      </c>
      <c r="B45" s="119">
        <v>46121</v>
      </c>
      <c r="C45" s="122">
        <v>0.60930555555555554</v>
      </c>
      <c r="D45" s="49" t="s">
        <v>76</v>
      </c>
      <c r="E45" s="49" t="s">
        <v>77</v>
      </c>
      <c r="F45" s="49" t="s">
        <v>78</v>
      </c>
      <c r="G45" s="49" t="s">
        <v>79</v>
      </c>
      <c r="H45" s="49" t="s">
        <v>80</v>
      </c>
      <c r="I45" s="49" t="s">
        <v>81</v>
      </c>
      <c r="J45" s="51">
        <v>92.54</v>
      </c>
      <c r="K45" s="51">
        <v>94</v>
      </c>
      <c r="L45" s="49">
        <v>2</v>
      </c>
      <c r="M45" s="51">
        <v>47</v>
      </c>
      <c r="N45" s="51">
        <v>0</v>
      </c>
      <c r="O45" s="51">
        <v>-1.46</v>
      </c>
      <c r="P45" s="49">
        <v>100</v>
      </c>
      <c r="Q45" s="49" t="s">
        <v>82</v>
      </c>
      <c r="R45" s="49" t="s">
        <v>0</v>
      </c>
      <c r="S45" s="119">
        <v>46121</v>
      </c>
      <c r="T45" s="49">
        <v>6750</v>
      </c>
      <c r="U45" s="49" t="s">
        <v>83</v>
      </c>
      <c r="V45" s="49">
        <v>453144748</v>
      </c>
      <c r="W45" s="49" t="s">
        <v>84</v>
      </c>
    </row>
    <row r="46" spans="1:23" x14ac:dyDescent="0.2">
      <c r="A46" s="117">
        <v>46121.609305555554</v>
      </c>
      <c r="B46" s="119">
        <v>46121</v>
      </c>
      <c r="C46" s="122">
        <v>0.60930555555555554</v>
      </c>
      <c r="D46" s="49" t="s">
        <v>76</v>
      </c>
      <c r="E46" s="49" t="s">
        <v>85</v>
      </c>
      <c r="F46" s="49" t="s">
        <v>86</v>
      </c>
      <c r="G46" s="49" t="s">
        <v>87</v>
      </c>
      <c r="H46" s="49" t="s">
        <v>80</v>
      </c>
      <c r="I46" s="49" t="s">
        <v>88</v>
      </c>
      <c r="J46" s="51">
        <v>-215.45</v>
      </c>
      <c r="K46" s="51">
        <v>-214</v>
      </c>
      <c r="L46" s="49">
        <v>2</v>
      </c>
      <c r="M46" s="51">
        <v>-107</v>
      </c>
      <c r="N46" s="51">
        <v>0</v>
      </c>
      <c r="O46" s="51">
        <v>-1.45</v>
      </c>
      <c r="P46" s="49">
        <v>100</v>
      </c>
      <c r="Q46" s="49" t="s">
        <v>82</v>
      </c>
      <c r="R46" s="49" t="s">
        <v>0</v>
      </c>
      <c r="S46" s="119">
        <v>46121</v>
      </c>
      <c r="T46" s="49">
        <v>6790</v>
      </c>
      <c r="U46" s="49" t="s">
        <v>83</v>
      </c>
      <c r="V46" s="49">
        <v>453144748</v>
      </c>
      <c r="W46" s="49" t="s">
        <v>84</v>
      </c>
    </row>
    <row r="47" spans="1:23" x14ac:dyDescent="0.2">
      <c r="A47" s="117">
        <v>46121.554108796299</v>
      </c>
      <c r="B47" s="119">
        <v>46121</v>
      </c>
      <c r="C47" s="122">
        <v>0.55410879629629628</v>
      </c>
      <c r="D47" s="49" t="s">
        <v>76</v>
      </c>
      <c r="E47" s="49" t="s">
        <v>77</v>
      </c>
      <c r="F47" s="49" t="s">
        <v>78</v>
      </c>
      <c r="G47" s="49" t="s">
        <v>89</v>
      </c>
      <c r="H47" s="49" t="s">
        <v>80</v>
      </c>
      <c r="I47" s="49" t="s">
        <v>90</v>
      </c>
      <c r="J47" s="51">
        <v>26.28</v>
      </c>
      <c r="K47" s="51">
        <v>27</v>
      </c>
      <c r="L47" s="49">
        <v>1</v>
      </c>
      <c r="M47" s="51">
        <v>27</v>
      </c>
      <c r="N47" s="51">
        <v>0</v>
      </c>
      <c r="O47" s="51">
        <v>-0.72</v>
      </c>
      <c r="P47" s="49">
        <v>100</v>
      </c>
      <c r="Q47" s="49" t="s">
        <v>82</v>
      </c>
      <c r="R47" s="49" t="s">
        <v>0</v>
      </c>
      <c r="S47" s="119">
        <v>46121</v>
      </c>
      <c r="T47" s="49">
        <v>6680</v>
      </c>
      <c r="U47" s="49" t="s">
        <v>83</v>
      </c>
      <c r="V47" s="49">
        <v>453095985</v>
      </c>
      <c r="W47" s="49" t="s">
        <v>84</v>
      </c>
    </row>
    <row r="48" spans="1:23" x14ac:dyDescent="0.2">
      <c r="A48" s="117">
        <v>46121.554108796299</v>
      </c>
      <c r="B48" s="119">
        <v>46121</v>
      </c>
      <c r="C48" s="122">
        <v>0.55410879629629628</v>
      </c>
      <c r="D48" s="49" t="s">
        <v>76</v>
      </c>
      <c r="E48" s="49" t="s">
        <v>85</v>
      </c>
      <c r="F48" s="49" t="s">
        <v>86</v>
      </c>
      <c r="G48" s="49" t="s">
        <v>91</v>
      </c>
      <c r="H48" s="49" t="s">
        <v>80</v>
      </c>
      <c r="I48" s="49" t="s">
        <v>92</v>
      </c>
      <c r="J48" s="51">
        <v>-47.72</v>
      </c>
      <c r="K48" s="51">
        <v>-47</v>
      </c>
      <c r="L48" s="49">
        <v>1</v>
      </c>
      <c r="M48" s="51">
        <v>-47</v>
      </c>
      <c r="N48" s="51">
        <v>0</v>
      </c>
      <c r="O48" s="51">
        <v>-0.72</v>
      </c>
      <c r="P48" s="49">
        <v>100</v>
      </c>
      <c r="Q48" s="49" t="s">
        <v>82</v>
      </c>
      <c r="R48" s="49" t="s">
        <v>0</v>
      </c>
      <c r="S48" s="119">
        <v>46121</v>
      </c>
      <c r="T48" s="49">
        <v>6720</v>
      </c>
      <c r="U48" s="49" t="s">
        <v>83</v>
      </c>
      <c r="V48" s="49">
        <v>453095985</v>
      </c>
      <c r="W48" s="49" t="s">
        <v>84</v>
      </c>
    </row>
    <row r="49" spans="1:23" x14ac:dyDescent="0.2">
      <c r="A49" s="117">
        <v>46121.554108796299</v>
      </c>
      <c r="B49" s="119">
        <v>46121</v>
      </c>
      <c r="C49" s="122">
        <v>0.55410879629629628</v>
      </c>
      <c r="D49" s="49" t="s">
        <v>76</v>
      </c>
      <c r="E49" s="49" t="s">
        <v>77</v>
      </c>
      <c r="F49" s="49" t="s">
        <v>78</v>
      </c>
      <c r="G49" s="49" t="s">
        <v>89</v>
      </c>
      <c r="H49" s="49" t="s">
        <v>80</v>
      </c>
      <c r="I49" s="49" t="s">
        <v>90</v>
      </c>
      <c r="J49" s="51">
        <v>26.28</v>
      </c>
      <c r="K49" s="51">
        <v>27</v>
      </c>
      <c r="L49" s="49">
        <v>1</v>
      </c>
      <c r="M49" s="51">
        <v>27</v>
      </c>
      <c r="N49" s="51">
        <v>0</v>
      </c>
      <c r="O49" s="51">
        <v>-0.72</v>
      </c>
      <c r="P49" s="49">
        <v>100</v>
      </c>
      <c r="Q49" s="49" t="s">
        <v>82</v>
      </c>
      <c r="R49" s="49" t="s">
        <v>0</v>
      </c>
      <c r="S49" s="119">
        <v>46121</v>
      </c>
      <c r="T49" s="49">
        <v>6680</v>
      </c>
      <c r="U49" s="49" t="s">
        <v>83</v>
      </c>
      <c r="V49" s="49">
        <v>453095985</v>
      </c>
      <c r="W49" s="49" t="s">
        <v>84</v>
      </c>
    </row>
    <row r="50" spans="1:23" x14ac:dyDescent="0.2">
      <c r="A50" s="117">
        <v>46121.554108796299</v>
      </c>
      <c r="B50" s="119">
        <v>46121</v>
      </c>
      <c r="C50" s="122">
        <v>0.55410879629629628</v>
      </c>
      <c r="D50" s="49" t="s">
        <v>76</v>
      </c>
      <c r="E50" s="49" t="s">
        <v>85</v>
      </c>
      <c r="F50" s="49" t="s">
        <v>86</v>
      </c>
      <c r="G50" s="49" t="s">
        <v>91</v>
      </c>
      <c r="H50" s="49" t="s">
        <v>80</v>
      </c>
      <c r="I50" s="49" t="s">
        <v>92</v>
      </c>
      <c r="J50" s="51">
        <v>-47.72</v>
      </c>
      <c r="K50" s="51">
        <v>-47</v>
      </c>
      <c r="L50" s="49">
        <v>1</v>
      </c>
      <c r="M50" s="51">
        <v>-47</v>
      </c>
      <c r="N50" s="51">
        <v>0</v>
      </c>
      <c r="O50" s="51">
        <v>-0.72</v>
      </c>
      <c r="P50" s="49">
        <v>100</v>
      </c>
      <c r="Q50" s="49" t="s">
        <v>82</v>
      </c>
      <c r="R50" s="49" t="s">
        <v>0</v>
      </c>
      <c r="S50" s="119">
        <v>46121</v>
      </c>
      <c r="T50" s="49">
        <v>6720</v>
      </c>
      <c r="U50" s="49" t="s">
        <v>83</v>
      </c>
      <c r="V50" s="49">
        <v>453095985</v>
      </c>
      <c r="W50" s="49" t="s">
        <v>84</v>
      </c>
    </row>
    <row r="51" spans="1:23" x14ac:dyDescent="0.2">
      <c r="A51" s="117">
        <v>46121.549583333333</v>
      </c>
      <c r="B51" s="119">
        <v>46121</v>
      </c>
      <c r="C51" s="122">
        <v>0.54958333333333331</v>
      </c>
      <c r="D51" s="49" t="s">
        <v>76</v>
      </c>
      <c r="E51" s="49" t="s">
        <v>93</v>
      </c>
      <c r="F51" s="49" t="s">
        <v>94</v>
      </c>
      <c r="G51" s="49" t="s">
        <v>79</v>
      </c>
      <c r="H51" s="49" t="s">
        <v>80</v>
      </c>
      <c r="I51" s="49" t="s">
        <v>95</v>
      </c>
      <c r="J51" s="51">
        <v>-167.45</v>
      </c>
      <c r="K51" s="51">
        <v>-164</v>
      </c>
      <c r="L51" s="49">
        <v>2</v>
      </c>
      <c r="M51" s="51">
        <v>-82</v>
      </c>
      <c r="N51" s="51">
        <v>-2</v>
      </c>
      <c r="O51" s="51">
        <v>-1.45</v>
      </c>
      <c r="P51" s="49">
        <v>100</v>
      </c>
      <c r="Q51" s="49" t="s">
        <v>82</v>
      </c>
      <c r="R51" s="49" t="s">
        <v>0</v>
      </c>
      <c r="S51" s="119">
        <v>46121</v>
      </c>
      <c r="T51" s="49">
        <v>6750</v>
      </c>
      <c r="U51" s="49" t="s">
        <v>83</v>
      </c>
      <c r="V51" s="49">
        <v>453090692</v>
      </c>
      <c r="W51" s="49" t="s">
        <v>84</v>
      </c>
    </row>
    <row r="52" spans="1:23" x14ac:dyDescent="0.2">
      <c r="A52" s="117">
        <v>46121.549583333333</v>
      </c>
      <c r="B52" s="119">
        <v>46121</v>
      </c>
      <c r="C52" s="122">
        <v>0.54958333333333331</v>
      </c>
      <c r="D52" s="49" t="s">
        <v>76</v>
      </c>
      <c r="E52" s="49" t="s">
        <v>96</v>
      </c>
      <c r="F52" s="49" t="s">
        <v>97</v>
      </c>
      <c r="G52" s="49" t="s">
        <v>87</v>
      </c>
      <c r="H52" s="49" t="s">
        <v>80</v>
      </c>
      <c r="I52" s="49" t="s">
        <v>98</v>
      </c>
      <c r="J52" s="51">
        <v>620.54</v>
      </c>
      <c r="K52" s="51">
        <v>624</v>
      </c>
      <c r="L52" s="49">
        <v>2</v>
      </c>
      <c r="M52" s="51">
        <v>312</v>
      </c>
      <c r="N52" s="51">
        <v>-2</v>
      </c>
      <c r="O52" s="51">
        <v>-1.46</v>
      </c>
      <c r="P52" s="49">
        <v>100</v>
      </c>
      <c r="Q52" s="49" t="s">
        <v>82</v>
      </c>
      <c r="R52" s="49" t="s">
        <v>0</v>
      </c>
      <c r="S52" s="119">
        <v>46121</v>
      </c>
      <c r="T52" s="49">
        <v>6790</v>
      </c>
      <c r="U52" s="49" t="s">
        <v>83</v>
      </c>
      <c r="V52" s="49">
        <v>453090692</v>
      </c>
      <c r="W52" s="49" t="s">
        <v>84</v>
      </c>
    </row>
    <row r="53" spans="1:23" x14ac:dyDescent="0.2">
      <c r="A53" s="117">
        <v>46121.533472222225</v>
      </c>
      <c r="B53" s="119">
        <v>46121</v>
      </c>
      <c r="C53" s="122">
        <v>0.53347222222222224</v>
      </c>
      <c r="D53" s="49" t="s">
        <v>76</v>
      </c>
      <c r="E53" s="49" t="s">
        <v>77</v>
      </c>
      <c r="F53" s="49" t="s">
        <v>78</v>
      </c>
      <c r="G53" s="49" t="s">
        <v>99</v>
      </c>
      <c r="H53" s="49" t="s">
        <v>80</v>
      </c>
      <c r="I53" s="49" t="s">
        <v>100</v>
      </c>
      <c r="J53" s="51">
        <v>106.28</v>
      </c>
      <c r="K53" s="51">
        <v>107</v>
      </c>
      <c r="L53" s="49">
        <v>1</v>
      </c>
      <c r="M53" s="51">
        <v>107</v>
      </c>
      <c r="N53" s="51">
        <v>0</v>
      </c>
      <c r="O53" s="51">
        <v>-0.72</v>
      </c>
      <c r="P53" s="49">
        <v>100</v>
      </c>
      <c r="Q53" s="49" t="s">
        <v>82</v>
      </c>
      <c r="R53" s="49" t="s">
        <v>0</v>
      </c>
      <c r="S53" s="119">
        <v>46121</v>
      </c>
      <c r="T53" s="49">
        <v>6880</v>
      </c>
      <c r="U53" s="49" t="s">
        <v>101</v>
      </c>
      <c r="V53" s="49">
        <v>453063408</v>
      </c>
      <c r="W53" s="49" t="s">
        <v>84</v>
      </c>
    </row>
    <row r="54" spans="1:23" x14ac:dyDescent="0.2">
      <c r="A54" s="117">
        <v>46121.533472222225</v>
      </c>
      <c r="B54" s="119">
        <v>46121</v>
      </c>
      <c r="C54" s="122">
        <v>0.53347222222222224</v>
      </c>
      <c r="D54" s="49" t="s">
        <v>76</v>
      </c>
      <c r="E54" s="49" t="s">
        <v>85</v>
      </c>
      <c r="F54" s="49" t="s">
        <v>86</v>
      </c>
      <c r="G54" s="49" t="s">
        <v>102</v>
      </c>
      <c r="H54" s="49" t="s">
        <v>80</v>
      </c>
      <c r="I54" s="49" t="s">
        <v>103</v>
      </c>
      <c r="J54" s="51">
        <v>-372.72</v>
      </c>
      <c r="K54" s="51">
        <v>-372</v>
      </c>
      <c r="L54" s="49">
        <v>1</v>
      </c>
      <c r="M54" s="51">
        <v>-372</v>
      </c>
      <c r="N54" s="51">
        <v>0</v>
      </c>
      <c r="O54" s="51">
        <v>-0.72</v>
      </c>
      <c r="P54" s="49">
        <v>100</v>
      </c>
      <c r="Q54" s="49" t="s">
        <v>82</v>
      </c>
      <c r="R54" s="49" t="s">
        <v>0</v>
      </c>
      <c r="S54" s="119">
        <v>46121</v>
      </c>
      <c r="T54" s="49">
        <v>6840</v>
      </c>
      <c r="U54" s="49" t="s">
        <v>101</v>
      </c>
      <c r="V54" s="49">
        <v>453063408</v>
      </c>
      <c r="W54" s="49" t="s">
        <v>84</v>
      </c>
    </row>
    <row r="55" spans="1:23" x14ac:dyDescent="0.2">
      <c r="A55" s="117">
        <v>46121.533472222225</v>
      </c>
      <c r="B55" s="119">
        <v>46121</v>
      </c>
      <c r="C55" s="122">
        <v>0.53347222222222224</v>
      </c>
      <c r="D55" s="49" t="s">
        <v>76</v>
      </c>
      <c r="E55" s="49" t="s">
        <v>77</v>
      </c>
      <c r="F55" s="49" t="s">
        <v>78</v>
      </c>
      <c r="G55" s="49" t="s">
        <v>99</v>
      </c>
      <c r="H55" s="49" t="s">
        <v>80</v>
      </c>
      <c r="I55" s="49" t="s">
        <v>100</v>
      </c>
      <c r="J55" s="51">
        <v>106.28</v>
      </c>
      <c r="K55" s="51">
        <v>107</v>
      </c>
      <c r="L55" s="49">
        <v>1</v>
      </c>
      <c r="M55" s="51">
        <v>107</v>
      </c>
      <c r="N55" s="51">
        <v>0</v>
      </c>
      <c r="O55" s="51">
        <v>-0.72</v>
      </c>
      <c r="P55" s="49">
        <v>100</v>
      </c>
      <c r="Q55" s="49" t="s">
        <v>82</v>
      </c>
      <c r="R55" s="49" t="s">
        <v>0</v>
      </c>
      <c r="S55" s="119">
        <v>46121</v>
      </c>
      <c r="T55" s="49">
        <v>6880</v>
      </c>
      <c r="U55" s="49" t="s">
        <v>101</v>
      </c>
      <c r="V55" s="49">
        <v>453063408</v>
      </c>
      <c r="W55" s="49" t="s">
        <v>84</v>
      </c>
    </row>
    <row r="56" spans="1:23" x14ac:dyDescent="0.2">
      <c r="A56" s="117">
        <v>46121.533472222225</v>
      </c>
      <c r="B56" s="119">
        <v>46121</v>
      </c>
      <c r="C56" s="122">
        <v>0.53347222222222224</v>
      </c>
      <c r="D56" s="49" t="s">
        <v>76</v>
      </c>
      <c r="E56" s="49" t="s">
        <v>85</v>
      </c>
      <c r="F56" s="49" t="s">
        <v>86</v>
      </c>
      <c r="G56" s="49" t="s">
        <v>102</v>
      </c>
      <c r="H56" s="49" t="s">
        <v>80</v>
      </c>
      <c r="I56" s="49" t="s">
        <v>103</v>
      </c>
      <c r="J56" s="51">
        <v>-372.72</v>
      </c>
      <c r="K56" s="51">
        <v>-372</v>
      </c>
      <c r="L56" s="49">
        <v>1</v>
      </c>
      <c r="M56" s="51">
        <v>-372</v>
      </c>
      <c r="N56" s="51">
        <v>0</v>
      </c>
      <c r="O56" s="51">
        <v>-0.72</v>
      </c>
      <c r="P56" s="49">
        <v>100</v>
      </c>
      <c r="Q56" s="49" t="s">
        <v>82</v>
      </c>
      <c r="R56" s="49" t="s">
        <v>0</v>
      </c>
      <c r="S56" s="119">
        <v>46121</v>
      </c>
      <c r="T56" s="49">
        <v>6840</v>
      </c>
      <c r="U56" s="49" t="s">
        <v>101</v>
      </c>
      <c r="V56" s="49">
        <v>453063408</v>
      </c>
      <c r="W56" s="49" t="s">
        <v>84</v>
      </c>
    </row>
    <row r="57" spans="1:23" x14ac:dyDescent="0.2">
      <c r="A57" s="117">
        <v>46121.524895833332</v>
      </c>
      <c r="B57" s="119">
        <v>46121</v>
      </c>
      <c r="C57" s="122">
        <v>0.52489583333333334</v>
      </c>
      <c r="D57" s="49" t="s">
        <v>76</v>
      </c>
      <c r="E57" s="49" t="s">
        <v>93</v>
      </c>
      <c r="F57" s="49" t="s">
        <v>94</v>
      </c>
      <c r="G57" s="49" t="s">
        <v>99</v>
      </c>
      <c r="H57" s="49" t="s">
        <v>80</v>
      </c>
      <c r="I57" s="49" t="s">
        <v>104</v>
      </c>
      <c r="J57" s="51">
        <v>-71.72</v>
      </c>
      <c r="K57" s="51">
        <v>-70</v>
      </c>
      <c r="L57" s="49">
        <v>1</v>
      </c>
      <c r="M57" s="51">
        <v>-70</v>
      </c>
      <c r="N57" s="51">
        <v>-1</v>
      </c>
      <c r="O57" s="51">
        <v>-0.72</v>
      </c>
      <c r="P57" s="49">
        <v>100</v>
      </c>
      <c r="Q57" s="49" t="s">
        <v>82</v>
      </c>
      <c r="R57" s="49" t="s">
        <v>0</v>
      </c>
      <c r="S57" s="119">
        <v>46121</v>
      </c>
      <c r="T57" s="49">
        <v>6880</v>
      </c>
      <c r="U57" s="49" t="s">
        <v>101</v>
      </c>
      <c r="V57" s="49">
        <v>453059380</v>
      </c>
      <c r="W57" s="49" t="s">
        <v>84</v>
      </c>
    </row>
    <row r="58" spans="1:23" x14ac:dyDescent="0.2">
      <c r="A58" s="117">
        <v>46121.524895833332</v>
      </c>
      <c r="B58" s="119">
        <v>46121</v>
      </c>
      <c r="C58" s="122">
        <v>0.52489583333333334</v>
      </c>
      <c r="D58" s="49" t="s">
        <v>76</v>
      </c>
      <c r="E58" s="49" t="s">
        <v>96</v>
      </c>
      <c r="F58" s="49" t="s">
        <v>97</v>
      </c>
      <c r="G58" s="49" t="s">
        <v>102</v>
      </c>
      <c r="H58" s="49" t="s">
        <v>80</v>
      </c>
      <c r="I58" s="49" t="s">
        <v>105</v>
      </c>
      <c r="J58" s="51">
        <v>253.28</v>
      </c>
      <c r="K58" s="51">
        <v>255</v>
      </c>
      <c r="L58" s="49">
        <v>1</v>
      </c>
      <c r="M58" s="51">
        <v>255</v>
      </c>
      <c r="N58" s="51">
        <v>-1</v>
      </c>
      <c r="O58" s="51">
        <v>-0.72</v>
      </c>
      <c r="P58" s="49">
        <v>100</v>
      </c>
      <c r="Q58" s="49" t="s">
        <v>82</v>
      </c>
      <c r="R58" s="49" t="s">
        <v>0</v>
      </c>
      <c r="S58" s="119">
        <v>46121</v>
      </c>
      <c r="T58" s="49">
        <v>6840</v>
      </c>
      <c r="U58" s="49" t="s">
        <v>101</v>
      </c>
      <c r="V58" s="49">
        <v>453059380</v>
      </c>
      <c r="W58" s="49" t="s">
        <v>84</v>
      </c>
    </row>
    <row r="59" spans="1:23" x14ac:dyDescent="0.2">
      <c r="A59" s="117">
        <v>46121.524340277778</v>
      </c>
      <c r="B59" s="119">
        <v>46121</v>
      </c>
      <c r="C59" s="122">
        <v>0.52434027777777781</v>
      </c>
      <c r="D59" s="49" t="s">
        <v>76</v>
      </c>
      <c r="E59" s="49" t="s">
        <v>93</v>
      </c>
      <c r="F59" s="49" t="s">
        <v>94</v>
      </c>
      <c r="G59" s="49" t="s">
        <v>99</v>
      </c>
      <c r="H59" s="49" t="s">
        <v>80</v>
      </c>
      <c r="I59" s="49" t="s">
        <v>106</v>
      </c>
      <c r="J59" s="51">
        <v>-63.72</v>
      </c>
      <c r="K59" s="51">
        <v>-62</v>
      </c>
      <c r="L59" s="49">
        <v>1</v>
      </c>
      <c r="M59" s="51">
        <v>-62</v>
      </c>
      <c r="N59" s="51">
        <v>-1</v>
      </c>
      <c r="O59" s="51">
        <v>-0.72</v>
      </c>
      <c r="P59" s="49">
        <v>100</v>
      </c>
      <c r="Q59" s="49" t="s">
        <v>82</v>
      </c>
      <c r="R59" s="49" t="s">
        <v>0</v>
      </c>
      <c r="S59" s="119">
        <v>46121</v>
      </c>
      <c r="T59" s="49">
        <v>6880</v>
      </c>
      <c r="U59" s="49" t="s">
        <v>101</v>
      </c>
      <c r="V59" s="49">
        <v>453058780</v>
      </c>
      <c r="W59" s="49" t="s">
        <v>84</v>
      </c>
    </row>
    <row r="60" spans="1:23" x14ac:dyDescent="0.2">
      <c r="A60" s="117">
        <v>46121.524340277778</v>
      </c>
      <c r="B60" s="119">
        <v>46121</v>
      </c>
      <c r="C60" s="122">
        <v>0.52434027777777781</v>
      </c>
      <c r="D60" s="49" t="s">
        <v>76</v>
      </c>
      <c r="E60" s="49" t="s">
        <v>96</v>
      </c>
      <c r="F60" s="49" t="s">
        <v>97</v>
      </c>
      <c r="G60" s="49" t="s">
        <v>102</v>
      </c>
      <c r="H60" s="49" t="s">
        <v>80</v>
      </c>
      <c r="I60" s="49" t="s">
        <v>107</v>
      </c>
      <c r="J60" s="51">
        <v>225.28</v>
      </c>
      <c r="K60" s="51">
        <v>227</v>
      </c>
      <c r="L60" s="49">
        <v>1</v>
      </c>
      <c r="M60" s="51">
        <v>227</v>
      </c>
      <c r="N60" s="51">
        <v>-1</v>
      </c>
      <c r="O60" s="51">
        <v>-0.72</v>
      </c>
      <c r="P60" s="49">
        <v>100</v>
      </c>
      <c r="Q60" s="49" t="s">
        <v>82</v>
      </c>
      <c r="R60" s="49" t="s">
        <v>0</v>
      </c>
      <c r="S60" s="119">
        <v>46121</v>
      </c>
      <c r="T60" s="49">
        <v>6840</v>
      </c>
      <c r="U60" s="49" t="s">
        <v>101</v>
      </c>
      <c r="V60" s="49">
        <v>453058780</v>
      </c>
      <c r="W60" s="49" t="s">
        <v>84</v>
      </c>
    </row>
    <row r="61" spans="1:23" x14ac:dyDescent="0.2">
      <c r="A61" s="117">
        <v>46121.52275462963</v>
      </c>
      <c r="B61" s="119">
        <v>46121</v>
      </c>
      <c r="C61" s="122">
        <v>0.5227546296296296</v>
      </c>
      <c r="D61" s="49" t="s">
        <v>76</v>
      </c>
      <c r="E61" s="49" t="s">
        <v>85</v>
      </c>
      <c r="F61" s="49" t="s">
        <v>86</v>
      </c>
      <c r="G61" s="49" t="s">
        <v>108</v>
      </c>
      <c r="H61" s="49" t="s">
        <v>80</v>
      </c>
      <c r="I61" s="49" t="s">
        <v>109</v>
      </c>
      <c r="J61" s="51">
        <v>-367.72</v>
      </c>
      <c r="K61" s="51">
        <v>-367</v>
      </c>
      <c r="L61" s="49">
        <v>1</v>
      </c>
      <c r="M61" s="51">
        <v>-367</v>
      </c>
      <c r="N61" s="51">
        <v>0</v>
      </c>
      <c r="O61" s="51">
        <v>-0.72</v>
      </c>
      <c r="P61" s="49">
        <v>100</v>
      </c>
      <c r="Q61" s="49" t="s">
        <v>82</v>
      </c>
      <c r="R61" s="49" t="s">
        <v>0</v>
      </c>
      <c r="S61" s="119">
        <v>46121</v>
      </c>
      <c r="T61" s="49">
        <v>6825</v>
      </c>
      <c r="U61" s="49" t="s">
        <v>101</v>
      </c>
      <c r="V61" s="49">
        <v>453054251</v>
      </c>
      <c r="W61" s="49" t="s">
        <v>84</v>
      </c>
    </row>
    <row r="62" spans="1:23" x14ac:dyDescent="0.2">
      <c r="A62" s="117">
        <v>46121.52275462963</v>
      </c>
      <c r="B62" s="119">
        <v>46121</v>
      </c>
      <c r="C62" s="122">
        <v>0.5227546296296296</v>
      </c>
      <c r="D62" s="49" t="s">
        <v>76</v>
      </c>
      <c r="E62" s="49" t="s">
        <v>77</v>
      </c>
      <c r="F62" s="49" t="s">
        <v>78</v>
      </c>
      <c r="G62" s="49" t="s">
        <v>110</v>
      </c>
      <c r="H62" s="49" t="s">
        <v>80</v>
      </c>
      <c r="I62" s="49" t="s">
        <v>111</v>
      </c>
      <c r="J62" s="51">
        <v>81.28</v>
      </c>
      <c r="K62" s="51">
        <v>82</v>
      </c>
      <c r="L62" s="49">
        <v>1</v>
      </c>
      <c r="M62" s="51">
        <v>82</v>
      </c>
      <c r="N62" s="51">
        <v>0</v>
      </c>
      <c r="O62" s="51">
        <v>-0.72</v>
      </c>
      <c r="P62" s="49">
        <v>100</v>
      </c>
      <c r="Q62" s="49" t="s">
        <v>82</v>
      </c>
      <c r="R62" s="49" t="s">
        <v>0</v>
      </c>
      <c r="S62" s="119">
        <v>46121</v>
      </c>
      <c r="T62" s="49">
        <v>6875</v>
      </c>
      <c r="U62" s="49" t="s">
        <v>101</v>
      </c>
      <c r="V62" s="49">
        <v>453054251</v>
      </c>
      <c r="W62" s="49" t="s">
        <v>84</v>
      </c>
    </row>
    <row r="63" spans="1:23" x14ac:dyDescent="0.2">
      <c r="A63" s="117">
        <v>46121.52275462963</v>
      </c>
      <c r="B63" s="119">
        <v>46121</v>
      </c>
      <c r="C63" s="122">
        <v>0.5227546296296296</v>
      </c>
      <c r="D63" s="49" t="s">
        <v>76</v>
      </c>
      <c r="E63" s="49" t="s">
        <v>77</v>
      </c>
      <c r="F63" s="49" t="s">
        <v>78</v>
      </c>
      <c r="G63" s="49" t="s">
        <v>110</v>
      </c>
      <c r="H63" s="49" t="s">
        <v>80</v>
      </c>
      <c r="I63" s="49" t="s">
        <v>111</v>
      </c>
      <c r="J63" s="51">
        <v>81.28</v>
      </c>
      <c r="K63" s="51">
        <v>82</v>
      </c>
      <c r="L63" s="49">
        <v>1</v>
      </c>
      <c r="M63" s="51">
        <v>82</v>
      </c>
      <c r="N63" s="51">
        <v>0</v>
      </c>
      <c r="O63" s="51">
        <v>-0.72</v>
      </c>
      <c r="P63" s="49">
        <v>100</v>
      </c>
      <c r="Q63" s="49" t="s">
        <v>82</v>
      </c>
      <c r="R63" s="49" t="s">
        <v>0</v>
      </c>
      <c r="S63" s="119">
        <v>46121</v>
      </c>
      <c r="T63" s="49">
        <v>6875</v>
      </c>
      <c r="U63" s="49" t="s">
        <v>101</v>
      </c>
      <c r="V63" s="49">
        <v>453054251</v>
      </c>
      <c r="W63" s="49" t="s">
        <v>84</v>
      </c>
    </row>
    <row r="64" spans="1:23" x14ac:dyDescent="0.2">
      <c r="A64" s="117">
        <v>46121.52275462963</v>
      </c>
      <c r="B64" s="119">
        <v>46121</v>
      </c>
      <c r="C64" s="122">
        <v>0.5227546296296296</v>
      </c>
      <c r="D64" s="49" t="s">
        <v>76</v>
      </c>
      <c r="E64" s="49" t="s">
        <v>85</v>
      </c>
      <c r="F64" s="49" t="s">
        <v>86</v>
      </c>
      <c r="G64" s="49" t="s">
        <v>108</v>
      </c>
      <c r="H64" s="49" t="s">
        <v>80</v>
      </c>
      <c r="I64" s="49" t="s">
        <v>109</v>
      </c>
      <c r="J64" s="51">
        <v>-367.72</v>
      </c>
      <c r="K64" s="51">
        <v>-367</v>
      </c>
      <c r="L64" s="49">
        <v>1</v>
      </c>
      <c r="M64" s="51">
        <v>-367</v>
      </c>
      <c r="N64" s="51">
        <v>0</v>
      </c>
      <c r="O64" s="51">
        <v>-0.72</v>
      </c>
      <c r="P64" s="49">
        <v>100</v>
      </c>
      <c r="Q64" s="49" t="s">
        <v>82</v>
      </c>
      <c r="R64" s="49" t="s">
        <v>0</v>
      </c>
      <c r="S64" s="119">
        <v>46121</v>
      </c>
      <c r="T64" s="49">
        <v>6825</v>
      </c>
      <c r="U64" s="49" t="s">
        <v>101</v>
      </c>
      <c r="V64" s="49">
        <v>453054251</v>
      </c>
      <c r="W64" s="49" t="s">
        <v>84</v>
      </c>
    </row>
    <row r="65" spans="1:23" x14ac:dyDescent="0.2">
      <c r="A65" s="117">
        <v>46121.516979166663</v>
      </c>
      <c r="B65" s="119">
        <v>46121</v>
      </c>
      <c r="C65" s="122">
        <v>0.51697916666666666</v>
      </c>
      <c r="D65" s="49" t="s">
        <v>76</v>
      </c>
      <c r="E65" s="49" t="s">
        <v>93</v>
      </c>
      <c r="F65" s="49" t="s">
        <v>94</v>
      </c>
      <c r="G65" s="49" t="s">
        <v>110</v>
      </c>
      <c r="H65" s="49" t="s">
        <v>80</v>
      </c>
      <c r="I65" s="49" t="s">
        <v>112</v>
      </c>
      <c r="J65" s="51">
        <v>-77.45</v>
      </c>
      <c r="K65" s="51">
        <v>-74</v>
      </c>
      <c r="L65" s="49">
        <v>2</v>
      </c>
      <c r="M65" s="51">
        <v>-37</v>
      </c>
      <c r="N65" s="51">
        <v>-2</v>
      </c>
      <c r="O65" s="51">
        <v>-1.45</v>
      </c>
      <c r="P65" s="49">
        <v>100</v>
      </c>
      <c r="Q65" s="49" t="s">
        <v>82</v>
      </c>
      <c r="R65" s="49" t="s">
        <v>0</v>
      </c>
      <c r="S65" s="119">
        <v>46121</v>
      </c>
      <c r="T65" s="49">
        <v>6875</v>
      </c>
      <c r="U65" s="49" t="s">
        <v>101</v>
      </c>
      <c r="V65" s="49">
        <v>453049901</v>
      </c>
      <c r="W65" s="49" t="s">
        <v>84</v>
      </c>
    </row>
    <row r="66" spans="1:23" x14ac:dyDescent="0.2">
      <c r="A66" s="117">
        <v>46121.516979166663</v>
      </c>
      <c r="B66" s="119">
        <v>46121</v>
      </c>
      <c r="C66" s="122">
        <v>0.51697916666666666</v>
      </c>
      <c r="D66" s="49" t="s">
        <v>76</v>
      </c>
      <c r="E66" s="49" t="s">
        <v>96</v>
      </c>
      <c r="F66" s="49" t="s">
        <v>97</v>
      </c>
      <c r="G66" s="49" t="s">
        <v>108</v>
      </c>
      <c r="H66" s="49" t="s">
        <v>80</v>
      </c>
      <c r="I66" s="49" t="s">
        <v>113</v>
      </c>
      <c r="J66" s="51">
        <v>310.54000000000002</v>
      </c>
      <c r="K66" s="51">
        <v>314</v>
      </c>
      <c r="L66" s="49">
        <v>2</v>
      </c>
      <c r="M66" s="51">
        <v>157</v>
      </c>
      <c r="N66" s="51">
        <v>-2</v>
      </c>
      <c r="O66" s="51">
        <v>-1.46</v>
      </c>
      <c r="P66" s="49">
        <v>100</v>
      </c>
      <c r="Q66" s="49" t="s">
        <v>82</v>
      </c>
      <c r="R66" s="49" t="s">
        <v>0</v>
      </c>
      <c r="S66" s="119">
        <v>46121</v>
      </c>
      <c r="T66" s="49">
        <v>6825</v>
      </c>
      <c r="U66" s="49" t="s">
        <v>101</v>
      </c>
      <c r="V66" s="49">
        <v>453049901</v>
      </c>
      <c r="W66" s="49" t="s">
        <v>84</v>
      </c>
    </row>
    <row r="67" spans="1:23" x14ac:dyDescent="0.2">
      <c r="A67" s="117">
        <v>46121.511111111111</v>
      </c>
      <c r="B67" s="119">
        <v>46121</v>
      </c>
      <c r="C67" s="122">
        <v>0.51111111111111107</v>
      </c>
      <c r="D67" s="49" t="s">
        <v>76</v>
      </c>
      <c r="E67" s="49" t="s">
        <v>77</v>
      </c>
      <c r="F67" s="49" t="s">
        <v>78</v>
      </c>
      <c r="G67" s="49" t="s">
        <v>114</v>
      </c>
      <c r="H67" s="49" t="s">
        <v>80</v>
      </c>
      <c r="I67" s="49" t="s">
        <v>115</v>
      </c>
      <c r="J67" s="51">
        <v>46.28</v>
      </c>
      <c r="K67" s="51">
        <v>47</v>
      </c>
      <c r="L67" s="49">
        <v>1</v>
      </c>
      <c r="M67" s="51">
        <v>47</v>
      </c>
      <c r="N67" s="51">
        <v>0</v>
      </c>
      <c r="O67" s="51">
        <v>-0.72</v>
      </c>
      <c r="P67" s="49">
        <v>100</v>
      </c>
      <c r="Q67" s="49" t="s">
        <v>82</v>
      </c>
      <c r="R67" s="49" t="s">
        <v>0</v>
      </c>
      <c r="S67" s="119">
        <v>46121</v>
      </c>
      <c r="T67" s="49">
        <v>6860</v>
      </c>
      <c r="U67" s="49" t="s">
        <v>101</v>
      </c>
      <c r="V67" s="49">
        <v>453005382</v>
      </c>
      <c r="W67" s="49" t="s">
        <v>84</v>
      </c>
    </row>
    <row r="68" spans="1:23" x14ac:dyDescent="0.2">
      <c r="A68" s="117">
        <v>46121.511111111111</v>
      </c>
      <c r="B68" s="119">
        <v>46121</v>
      </c>
      <c r="C68" s="122">
        <v>0.51111111111111107</v>
      </c>
      <c r="D68" s="49" t="s">
        <v>76</v>
      </c>
      <c r="E68" s="49" t="s">
        <v>85</v>
      </c>
      <c r="F68" s="49" t="s">
        <v>86</v>
      </c>
      <c r="G68" s="49" t="s">
        <v>116</v>
      </c>
      <c r="H68" s="49" t="s">
        <v>80</v>
      </c>
      <c r="I68" s="49" t="s">
        <v>117</v>
      </c>
      <c r="J68" s="51">
        <v>-312.72000000000003</v>
      </c>
      <c r="K68" s="51">
        <v>-312</v>
      </c>
      <c r="L68" s="49">
        <v>1</v>
      </c>
      <c r="M68" s="51">
        <v>-312</v>
      </c>
      <c r="N68" s="51">
        <v>0</v>
      </c>
      <c r="O68" s="51">
        <v>-0.72</v>
      </c>
      <c r="P68" s="49">
        <v>100</v>
      </c>
      <c r="Q68" s="49" t="s">
        <v>82</v>
      </c>
      <c r="R68" s="49" t="s">
        <v>0</v>
      </c>
      <c r="S68" s="119">
        <v>46121</v>
      </c>
      <c r="T68" s="49">
        <v>6805</v>
      </c>
      <c r="U68" s="49" t="s">
        <v>101</v>
      </c>
      <c r="V68" s="49">
        <v>453005382</v>
      </c>
      <c r="W68" s="49" t="s">
        <v>84</v>
      </c>
    </row>
    <row r="69" spans="1:23" x14ac:dyDescent="0.2">
      <c r="A69" s="117">
        <v>46121.511111111111</v>
      </c>
      <c r="B69" s="119">
        <v>46121</v>
      </c>
      <c r="C69" s="122">
        <v>0.51111111111111107</v>
      </c>
      <c r="D69" s="49" t="s">
        <v>76</v>
      </c>
      <c r="E69" s="49" t="s">
        <v>77</v>
      </c>
      <c r="F69" s="49" t="s">
        <v>78</v>
      </c>
      <c r="G69" s="49" t="s">
        <v>114</v>
      </c>
      <c r="H69" s="49" t="s">
        <v>80</v>
      </c>
      <c r="I69" s="49" t="s">
        <v>115</v>
      </c>
      <c r="J69" s="51">
        <v>46.28</v>
      </c>
      <c r="K69" s="51">
        <v>47</v>
      </c>
      <c r="L69" s="49">
        <v>1</v>
      </c>
      <c r="M69" s="51">
        <v>47</v>
      </c>
      <c r="N69" s="51">
        <v>0</v>
      </c>
      <c r="O69" s="51">
        <v>-0.72</v>
      </c>
      <c r="P69" s="49">
        <v>100</v>
      </c>
      <c r="Q69" s="49" t="s">
        <v>82</v>
      </c>
      <c r="R69" s="49" t="s">
        <v>0</v>
      </c>
      <c r="S69" s="119">
        <v>46121</v>
      </c>
      <c r="T69" s="49">
        <v>6860</v>
      </c>
      <c r="U69" s="49" t="s">
        <v>101</v>
      </c>
      <c r="V69" s="49">
        <v>453005382</v>
      </c>
      <c r="W69" s="49" t="s">
        <v>84</v>
      </c>
    </row>
    <row r="70" spans="1:23" x14ac:dyDescent="0.2">
      <c r="A70" s="117">
        <v>46121.511111111111</v>
      </c>
      <c r="B70" s="119">
        <v>46121</v>
      </c>
      <c r="C70" s="122">
        <v>0.51111111111111107</v>
      </c>
      <c r="D70" s="49" t="s">
        <v>76</v>
      </c>
      <c r="E70" s="49" t="s">
        <v>85</v>
      </c>
      <c r="F70" s="49" t="s">
        <v>86</v>
      </c>
      <c r="G70" s="49" t="s">
        <v>116</v>
      </c>
      <c r="H70" s="49" t="s">
        <v>80</v>
      </c>
      <c r="I70" s="49" t="s">
        <v>117</v>
      </c>
      <c r="J70" s="51">
        <v>-312.72000000000003</v>
      </c>
      <c r="K70" s="51">
        <v>-312</v>
      </c>
      <c r="L70" s="49">
        <v>1</v>
      </c>
      <c r="M70" s="51">
        <v>-312</v>
      </c>
      <c r="N70" s="51">
        <v>0</v>
      </c>
      <c r="O70" s="51">
        <v>-0.72</v>
      </c>
      <c r="P70" s="49">
        <v>100</v>
      </c>
      <c r="Q70" s="49" t="s">
        <v>82</v>
      </c>
      <c r="R70" s="49" t="s">
        <v>0</v>
      </c>
      <c r="S70" s="119">
        <v>46121</v>
      </c>
      <c r="T70" s="49">
        <v>6805</v>
      </c>
      <c r="U70" s="49" t="s">
        <v>101</v>
      </c>
      <c r="V70" s="49">
        <v>453005382</v>
      </c>
      <c r="W70" s="49" t="s">
        <v>84</v>
      </c>
    </row>
    <row r="71" spans="1:23" x14ac:dyDescent="0.2">
      <c r="A71" s="117">
        <v>46121.475011574075</v>
      </c>
      <c r="B71" s="119">
        <v>46121</v>
      </c>
      <c r="C71" s="122">
        <v>0.47501157407407407</v>
      </c>
      <c r="D71" s="49" t="s">
        <v>76</v>
      </c>
      <c r="E71" s="49" t="s">
        <v>93</v>
      </c>
      <c r="F71" s="49" t="s">
        <v>94</v>
      </c>
      <c r="G71" s="49" t="s">
        <v>114</v>
      </c>
      <c r="H71" s="49" t="s">
        <v>80</v>
      </c>
      <c r="I71" s="49" t="s">
        <v>118</v>
      </c>
      <c r="J71" s="51">
        <v>-87.45</v>
      </c>
      <c r="K71" s="51">
        <v>-84</v>
      </c>
      <c r="L71" s="49">
        <v>2</v>
      </c>
      <c r="M71" s="51">
        <v>-42</v>
      </c>
      <c r="N71" s="51">
        <v>-2</v>
      </c>
      <c r="O71" s="51">
        <v>-1.45</v>
      </c>
      <c r="P71" s="49">
        <v>100</v>
      </c>
      <c r="Q71" s="49" t="s">
        <v>82</v>
      </c>
      <c r="R71" s="49" t="s">
        <v>0</v>
      </c>
      <c r="S71" s="119">
        <v>46121</v>
      </c>
      <c r="T71" s="49">
        <v>6860</v>
      </c>
      <c r="U71" s="49" t="s">
        <v>101</v>
      </c>
      <c r="V71" s="49">
        <v>452999277</v>
      </c>
      <c r="W71" s="49" t="s">
        <v>84</v>
      </c>
    </row>
    <row r="72" spans="1:23" x14ac:dyDescent="0.2">
      <c r="A72" s="117">
        <v>46121.475011574075</v>
      </c>
      <c r="B72" s="119">
        <v>46121</v>
      </c>
      <c r="C72" s="122">
        <v>0.47501157407407407</v>
      </c>
      <c r="D72" s="49" t="s">
        <v>76</v>
      </c>
      <c r="E72" s="49" t="s">
        <v>96</v>
      </c>
      <c r="F72" s="49" t="s">
        <v>97</v>
      </c>
      <c r="G72" s="49" t="s">
        <v>116</v>
      </c>
      <c r="H72" s="49" t="s">
        <v>80</v>
      </c>
      <c r="I72" s="49" t="s">
        <v>119</v>
      </c>
      <c r="J72" s="51">
        <v>370.54</v>
      </c>
      <c r="K72" s="51">
        <v>374</v>
      </c>
      <c r="L72" s="49">
        <v>2</v>
      </c>
      <c r="M72" s="51">
        <v>187</v>
      </c>
      <c r="N72" s="51">
        <v>-2</v>
      </c>
      <c r="O72" s="51">
        <v>-1.46</v>
      </c>
      <c r="P72" s="49">
        <v>100</v>
      </c>
      <c r="Q72" s="49" t="s">
        <v>82</v>
      </c>
      <c r="R72" s="49" t="s">
        <v>0</v>
      </c>
      <c r="S72" s="119">
        <v>46121</v>
      </c>
      <c r="T72" s="49">
        <v>6805</v>
      </c>
      <c r="U72" s="49" t="s">
        <v>101</v>
      </c>
      <c r="V72" s="49">
        <v>452999277</v>
      </c>
      <c r="W72" s="49" t="s">
        <v>84</v>
      </c>
    </row>
    <row r="73" spans="1:23" x14ac:dyDescent="0.2">
      <c r="A73" s="117">
        <v>46121.472407407404</v>
      </c>
      <c r="B73" s="119">
        <v>46121</v>
      </c>
      <c r="C73" s="122">
        <v>0.47240740740740739</v>
      </c>
      <c r="D73" s="49" t="s">
        <v>76</v>
      </c>
      <c r="E73" s="49" t="s">
        <v>96</v>
      </c>
      <c r="F73" s="49" t="s">
        <v>97</v>
      </c>
      <c r="G73" s="49" t="s">
        <v>91</v>
      </c>
      <c r="H73" s="49" t="s">
        <v>80</v>
      </c>
      <c r="I73" s="49" t="s">
        <v>120</v>
      </c>
      <c r="J73" s="51">
        <v>450.54</v>
      </c>
      <c r="K73" s="51">
        <v>454</v>
      </c>
      <c r="L73" s="49">
        <v>2</v>
      </c>
      <c r="M73" s="51">
        <v>227</v>
      </c>
      <c r="N73" s="51">
        <v>-2</v>
      </c>
      <c r="O73" s="51">
        <v>-1.46</v>
      </c>
      <c r="P73" s="49">
        <v>100</v>
      </c>
      <c r="Q73" s="49" t="s">
        <v>82</v>
      </c>
      <c r="R73" s="49" t="s">
        <v>0</v>
      </c>
      <c r="S73" s="119">
        <v>46121</v>
      </c>
      <c r="T73" s="49">
        <v>6720</v>
      </c>
      <c r="U73" s="49" t="s">
        <v>83</v>
      </c>
      <c r="V73" s="49">
        <v>452995459</v>
      </c>
      <c r="W73" s="49" t="s">
        <v>84</v>
      </c>
    </row>
    <row r="74" spans="1:23" x14ac:dyDescent="0.2">
      <c r="A74" s="117">
        <v>46121.472407407404</v>
      </c>
      <c r="B74" s="119">
        <v>46121</v>
      </c>
      <c r="C74" s="122">
        <v>0.47240740740740739</v>
      </c>
      <c r="D74" s="49" t="s">
        <v>76</v>
      </c>
      <c r="E74" s="49" t="s">
        <v>93</v>
      </c>
      <c r="F74" s="49" t="s">
        <v>94</v>
      </c>
      <c r="G74" s="49" t="s">
        <v>89</v>
      </c>
      <c r="H74" s="49" t="s">
        <v>80</v>
      </c>
      <c r="I74" s="49" t="s">
        <v>121</v>
      </c>
      <c r="J74" s="51">
        <v>-177.45</v>
      </c>
      <c r="K74" s="51">
        <v>-174</v>
      </c>
      <c r="L74" s="49">
        <v>2</v>
      </c>
      <c r="M74" s="51">
        <v>-87</v>
      </c>
      <c r="N74" s="51">
        <v>-2</v>
      </c>
      <c r="O74" s="51">
        <v>-1.45</v>
      </c>
      <c r="P74" s="49">
        <v>100</v>
      </c>
      <c r="Q74" s="49" t="s">
        <v>82</v>
      </c>
      <c r="R74" s="49" t="s">
        <v>0</v>
      </c>
      <c r="S74" s="119">
        <v>46121</v>
      </c>
      <c r="T74" s="49">
        <v>6680</v>
      </c>
      <c r="U74" s="49" t="s">
        <v>83</v>
      </c>
      <c r="V74" s="49">
        <v>452995459</v>
      </c>
      <c r="W74" s="49" t="s">
        <v>84</v>
      </c>
    </row>
    <row r="75" spans="1:23" x14ac:dyDescent="0.2">
      <c r="A75" s="117">
        <v>46120.504895833335</v>
      </c>
      <c r="B75" s="119">
        <v>46120</v>
      </c>
      <c r="C75" s="122">
        <v>0.50489583333333332</v>
      </c>
      <c r="D75" s="49" t="s">
        <v>76</v>
      </c>
      <c r="E75" s="49" t="s">
        <v>77</v>
      </c>
      <c r="F75" s="49" t="s">
        <v>78</v>
      </c>
      <c r="G75" s="49" t="s">
        <v>122</v>
      </c>
      <c r="H75" s="49" t="s">
        <v>80</v>
      </c>
      <c r="I75" s="49" t="s">
        <v>123</v>
      </c>
      <c r="J75" s="51">
        <v>342.54</v>
      </c>
      <c r="K75" s="51">
        <v>344</v>
      </c>
      <c r="L75" s="49">
        <v>2</v>
      </c>
      <c r="M75" s="51">
        <v>172</v>
      </c>
      <c r="N75" s="51">
        <v>0</v>
      </c>
      <c r="O75" s="51">
        <v>-1.46</v>
      </c>
      <c r="P75" s="49">
        <v>100</v>
      </c>
      <c r="Q75" s="49" t="s">
        <v>82</v>
      </c>
      <c r="R75" s="49" t="s">
        <v>0</v>
      </c>
      <c r="S75" s="119">
        <v>46120</v>
      </c>
      <c r="T75" s="49">
        <v>6680</v>
      </c>
      <c r="U75" s="49" t="s">
        <v>83</v>
      </c>
      <c r="V75" s="49">
        <v>452686040</v>
      </c>
      <c r="W75" s="49" t="s">
        <v>84</v>
      </c>
    </row>
    <row r="76" spans="1:23" x14ac:dyDescent="0.2">
      <c r="A76" s="117">
        <v>46120.504895833335</v>
      </c>
      <c r="B76" s="119">
        <v>46120</v>
      </c>
      <c r="C76" s="122">
        <v>0.50489583333333332</v>
      </c>
      <c r="D76" s="49" t="s">
        <v>76</v>
      </c>
      <c r="E76" s="49" t="s">
        <v>85</v>
      </c>
      <c r="F76" s="49" t="s">
        <v>86</v>
      </c>
      <c r="G76" s="49" t="s">
        <v>124</v>
      </c>
      <c r="H76" s="49" t="s">
        <v>80</v>
      </c>
      <c r="I76" s="49" t="s">
        <v>125</v>
      </c>
      <c r="J76" s="51">
        <v>-925.45</v>
      </c>
      <c r="K76" s="51">
        <v>-924</v>
      </c>
      <c r="L76" s="49">
        <v>2</v>
      </c>
      <c r="M76" s="51">
        <v>-462</v>
      </c>
      <c r="N76" s="51">
        <v>0</v>
      </c>
      <c r="O76" s="51">
        <v>-1.45</v>
      </c>
      <c r="P76" s="49">
        <v>100</v>
      </c>
      <c r="Q76" s="49" t="s">
        <v>82</v>
      </c>
      <c r="R76" s="49" t="s">
        <v>0</v>
      </c>
      <c r="S76" s="119">
        <v>46120</v>
      </c>
      <c r="T76" s="49">
        <v>6720</v>
      </c>
      <c r="U76" s="49" t="s">
        <v>83</v>
      </c>
      <c r="V76" s="49">
        <v>452686040</v>
      </c>
      <c r="W76" s="49" t="s">
        <v>84</v>
      </c>
    </row>
    <row r="77" spans="1:23" x14ac:dyDescent="0.2">
      <c r="A77" s="117">
        <v>46120.444305555553</v>
      </c>
      <c r="B77" s="119">
        <v>46120</v>
      </c>
      <c r="C77" s="122">
        <v>0.44430555555555556</v>
      </c>
      <c r="D77" s="49" t="s">
        <v>76</v>
      </c>
      <c r="E77" s="49" t="s">
        <v>96</v>
      </c>
      <c r="F77" s="49" t="s">
        <v>97</v>
      </c>
      <c r="G77" s="49" t="s">
        <v>124</v>
      </c>
      <c r="H77" s="49" t="s">
        <v>80</v>
      </c>
      <c r="I77" s="49" t="s">
        <v>126</v>
      </c>
      <c r="J77" s="51">
        <v>591.28</v>
      </c>
      <c r="K77" s="51">
        <v>593</v>
      </c>
      <c r="L77" s="49">
        <v>1</v>
      </c>
      <c r="M77" s="51">
        <v>593</v>
      </c>
      <c r="N77" s="51">
        <v>-1</v>
      </c>
      <c r="O77" s="51">
        <v>-0.72</v>
      </c>
      <c r="P77" s="49">
        <v>100</v>
      </c>
      <c r="Q77" s="49" t="s">
        <v>82</v>
      </c>
      <c r="R77" s="49" t="s">
        <v>0</v>
      </c>
      <c r="S77" s="119">
        <v>46120</v>
      </c>
      <c r="T77" s="49">
        <v>6720</v>
      </c>
      <c r="U77" s="49" t="s">
        <v>83</v>
      </c>
      <c r="V77" s="49">
        <v>452567556</v>
      </c>
      <c r="W77" s="49" t="s">
        <v>84</v>
      </c>
    </row>
    <row r="78" spans="1:23" x14ac:dyDescent="0.2">
      <c r="A78" s="117">
        <v>46120.444305555553</v>
      </c>
      <c r="B78" s="119">
        <v>46120</v>
      </c>
      <c r="C78" s="122">
        <v>0.44430555555555556</v>
      </c>
      <c r="D78" s="49" t="s">
        <v>76</v>
      </c>
      <c r="E78" s="49" t="s">
        <v>93</v>
      </c>
      <c r="F78" s="49" t="s">
        <v>94</v>
      </c>
      <c r="G78" s="49" t="s">
        <v>122</v>
      </c>
      <c r="H78" s="49" t="s">
        <v>80</v>
      </c>
      <c r="I78" s="49" t="s">
        <v>127</v>
      </c>
      <c r="J78" s="51">
        <v>-304.72000000000003</v>
      </c>
      <c r="K78" s="51">
        <v>-303</v>
      </c>
      <c r="L78" s="49">
        <v>1</v>
      </c>
      <c r="M78" s="51">
        <v>-303</v>
      </c>
      <c r="N78" s="51">
        <v>-1</v>
      </c>
      <c r="O78" s="51">
        <v>-0.72</v>
      </c>
      <c r="P78" s="49">
        <v>100</v>
      </c>
      <c r="Q78" s="49" t="s">
        <v>82</v>
      </c>
      <c r="R78" s="49" t="s">
        <v>0</v>
      </c>
      <c r="S78" s="119">
        <v>46120</v>
      </c>
      <c r="T78" s="49">
        <v>6680</v>
      </c>
      <c r="U78" s="49" t="s">
        <v>83</v>
      </c>
      <c r="V78" s="49">
        <v>452567556</v>
      </c>
      <c r="W78" s="49" t="s">
        <v>84</v>
      </c>
    </row>
    <row r="79" spans="1:23" x14ac:dyDescent="0.2">
      <c r="A79" s="117">
        <v>46120.444305555553</v>
      </c>
      <c r="B79" s="119">
        <v>46120</v>
      </c>
      <c r="C79" s="122">
        <v>0.44430555555555556</v>
      </c>
      <c r="D79" s="49" t="s">
        <v>76</v>
      </c>
      <c r="E79" s="49" t="s">
        <v>96</v>
      </c>
      <c r="F79" s="49" t="s">
        <v>97</v>
      </c>
      <c r="G79" s="49" t="s">
        <v>124</v>
      </c>
      <c r="H79" s="49" t="s">
        <v>80</v>
      </c>
      <c r="I79" s="49" t="s">
        <v>126</v>
      </c>
      <c r="J79" s="51">
        <v>591.28</v>
      </c>
      <c r="K79" s="51">
        <v>593</v>
      </c>
      <c r="L79" s="49">
        <v>1</v>
      </c>
      <c r="M79" s="51">
        <v>593</v>
      </c>
      <c r="N79" s="51">
        <v>-1</v>
      </c>
      <c r="O79" s="51">
        <v>-0.72</v>
      </c>
      <c r="P79" s="49">
        <v>100</v>
      </c>
      <c r="Q79" s="49" t="s">
        <v>82</v>
      </c>
      <c r="R79" s="49" t="s">
        <v>0</v>
      </c>
      <c r="S79" s="119">
        <v>46120</v>
      </c>
      <c r="T79" s="49">
        <v>6720</v>
      </c>
      <c r="U79" s="49" t="s">
        <v>83</v>
      </c>
      <c r="V79" s="49">
        <v>452567556</v>
      </c>
      <c r="W79" s="49" t="s">
        <v>84</v>
      </c>
    </row>
    <row r="80" spans="1:23" x14ac:dyDescent="0.2">
      <c r="A80" s="117">
        <v>46120.444305555553</v>
      </c>
      <c r="B80" s="119">
        <v>46120</v>
      </c>
      <c r="C80" s="122">
        <v>0.44430555555555556</v>
      </c>
      <c r="D80" s="49" t="s">
        <v>76</v>
      </c>
      <c r="E80" s="49" t="s">
        <v>93</v>
      </c>
      <c r="F80" s="49" t="s">
        <v>94</v>
      </c>
      <c r="G80" s="49" t="s">
        <v>122</v>
      </c>
      <c r="H80" s="49" t="s">
        <v>80</v>
      </c>
      <c r="I80" s="49" t="s">
        <v>127</v>
      </c>
      <c r="J80" s="51">
        <v>-304.72000000000003</v>
      </c>
      <c r="K80" s="51">
        <v>-303</v>
      </c>
      <c r="L80" s="49">
        <v>1</v>
      </c>
      <c r="M80" s="51">
        <v>-303</v>
      </c>
      <c r="N80" s="51">
        <v>-1</v>
      </c>
      <c r="O80" s="51">
        <v>-0.72</v>
      </c>
      <c r="P80" s="49">
        <v>100</v>
      </c>
      <c r="Q80" s="49" t="s">
        <v>82</v>
      </c>
      <c r="R80" s="49" t="s">
        <v>0</v>
      </c>
      <c r="S80" s="119">
        <v>46120</v>
      </c>
      <c r="T80" s="49">
        <v>6680</v>
      </c>
      <c r="U80" s="49" t="s">
        <v>83</v>
      </c>
      <c r="V80" s="49">
        <v>452567556</v>
      </c>
      <c r="W80" s="49" t="s">
        <v>84</v>
      </c>
    </row>
    <row r="81" spans="1:23" x14ac:dyDescent="0.2">
      <c r="A81" s="117">
        <v>46119.622118055559</v>
      </c>
      <c r="B81" s="119">
        <v>46119</v>
      </c>
      <c r="C81" s="122">
        <v>0.62211805555555555</v>
      </c>
      <c r="D81" s="49" t="s">
        <v>76</v>
      </c>
      <c r="E81" s="49" t="s">
        <v>77</v>
      </c>
      <c r="F81" s="49" t="s">
        <v>78</v>
      </c>
      <c r="G81" s="49" t="s">
        <v>128</v>
      </c>
      <c r="H81" s="49" t="s">
        <v>80</v>
      </c>
      <c r="I81" s="49" t="s">
        <v>129</v>
      </c>
      <c r="J81" s="51">
        <v>22.54</v>
      </c>
      <c r="K81" s="51">
        <v>24</v>
      </c>
      <c r="L81" s="49">
        <v>2</v>
      </c>
      <c r="M81" s="51">
        <v>12</v>
      </c>
      <c r="N81" s="51">
        <v>0</v>
      </c>
      <c r="O81" s="51">
        <v>-1.46</v>
      </c>
      <c r="P81" s="49">
        <v>100</v>
      </c>
      <c r="Q81" s="49" t="s">
        <v>82</v>
      </c>
      <c r="R81" s="49" t="s">
        <v>0</v>
      </c>
      <c r="S81" s="119">
        <v>46119</v>
      </c>
      <c r="T81" s="49">
        <v>6460</v>
      </c>
      <c r="U81" s="49" t="s">
        <v>83</v>
      </c>
      <c r="V81" s="49">
        <v>452368492</v>
      </c>
      <c r="W81" s="49" t="s">
        <v>84</v>
      </c>
    </row>
    <row r="82" spans="1:23" x14ac:dyDescent="0.2">
      <c r="A82" s="117">
        <v>46119.622118055559</v>
      </c>
      <c r="B82" s="119">
        <v>46119</v>
      </c>
      <c r="C82" s="122">
        <v>0.62211805555555555</v>
      </c>
      <c r="D82" s="49" t="s">
        <v>76</v>
      </c>
      <c r="E82" s="49" t="s">
        <v>77</v>
      </c>
      <c r="F82" s="49" t="s">
        <v>78</v>
      </c>
      <c r="G82" s="49" t="s">
        <v>130</v>
      </c>
      <c r="H82" s="49" t="s">
        <v>80</v>
      </c>
      <c r="I82" s="49" t="s">
        <v>131</v>
      </c>
      <c r="J82" s="51">
        <v>118.54</v>
      </c>
      <c r="K82" s="51">
        <v>120</v>
      </c>
      <c r="L82" s="49">
        <v>2</v>
      </c>
      <c r="M82" s="51">
        <v>60</v>
      </c>
      <c r="N82" s="51">
        <v>0</v>
      </c>
      <c r="O82" s="51">
        <v>-1.46</v>
      </c>
      <c r="P82" s="49">
        <v>100</v>
      </c>
      <c r="Q82" s="49" t="s">
        <v>82</v>
      </c>
      <c r="R82" s="49" t="s">
        <v>0</v>
      </c>
      <c r="S82" s="119">
        <v>46119</v>
      </c>
      <c r="T82" s="49">
        <v>6660</v>
      </c>
      <c r="U82" s="49" t="s">
        <v>101</v>
      </c>
      <c r="V82" s="49">
        <v>452368492</v>
      </c>
      <c r="W82" s="49" t="s">
        <v>84</v>
      </c>
    </row>
    <row r="83" spans="1:23" x14ac:dyDescent="0.2">
      <c r="A83" s="117">
        <v>46119.622118055559</v>
      </c>
      <c r="B83" s="119">
        <v>46119</v>
      </c>
      <c r="C83" s="122">
        <v>0.62211805555555555</v>
      </c>
      <c r="D83" s="49" t="s">
        <v>76</v>
      </c>
      <c r="E83" s="49" t="s">
        <v>85</v>
      </c>
      <c r="F83" s="49" t="s">
        <v>86</v>
      </c>
      <c r="G83" s="49" t="s">
        <v>132</v>
      </c>
      <c r="H83" s="49" t="s">
        <v>80</v>
      </c>
      <c r="I83" s="49" t="s">
        <v>133</v>
      </c>
      <c r="J83" s="51">
        <v>-45.45</v>
      </c>
      <c r="K83" s="51">
        <v>-44</v>
      </c>
      <c r="L83" s="49">
        <v>2</v>
      </c>
      <c r="M83" s="51">
        <v>-22</v>
      </c>
      <c r="N83" s="51">
        <v>0</v>
      </c>
      <c r="O83" s="51">
        <v>-1.45</v>
      </c>
      <c r="P83" s="49">
        <v>100</v>
      </c>
      <c r="Q83" s="49" t="s">
        <v>82</v>
      </c>
      <c r="R83" s="49" t="s">
        <v>0</v>
      </c>
      <c r="S83" s="119">
        <v>46119</v>
      </c>
      <c r="T83" s="49">
        <v>6500</v>
      </c>
      <c r="U83" s="49" t="s">
        <v>83</v>
      </c>
      <c r="V83" s="49">
        <v>452368492</v>
      </c>
      <c r="W83" s="49" t="s">
        <v>84</v>
      </c>
    </row>
    <row r="84" spans="1:23" x14ac:dyDescent="0.2">
      <c r="A84" s="117">
        <v>46119.622118055559</v>
      </c>
      <c r="B84" s="119">
        <v>46119</v>
      </c>
      <c r="C84" s="122">
        <v>0.62211805555555555</v>
      </c>
      <c r="D84" s="49" t="s">
        <v>76</v>
      </c>
      <c r="E84" s="49" t="s">
        <v>85</v>
      </c>
      <c r="F84" s="49" t="s">
        <v>86</v>
      </c>
      <c r="G84" s="49" t="s">
        <v>134</v>
      </c>
      <c r="H84" s="49" t="s">
        <v>80</v>
      </c>
      <c r="I84" s="49" t="s">
        <v>135</v>
      </c>
      <c r="J84" s="51">
        <v>-451.45</v>
      </c>
      <c r="K84" s="51">
        <v>-450</v>
      </c>
      <c r="L84" s="49">
        <v>2</v>
      </c>
      <c r="M84" s="51">
        <v>-225</v>
      </c>
      <c r="N84" s="51">
        <v>0</v>
      </c>
      <c r="O84" s="51">
        <v>-1.45</v>
      </c>
      <c r="P84" s="49">
        <v>100</v>
      </c>
      <c r="Q84" s="49" t="s">
        <v>82</v>
      </c>
      <c r="R84" s="49" t="s">
        <v>0</v>
      </c>
      <c r="S84" s="119">
        <v>46119</v>
      </c>
      <c r="T84" s="49">
        <v>6620</v>
      </c>
      <c r="U84" s="49" t="s">
        <v>101</v>
      </c>
      <c r="V84" s="49">
        <v>452368492</v>
      </c>
      <c r="W84" s="49" t="s">
        <v>84</v>
      </c>
    </row>
    <row r="85" spans="1:23" x14ac:dyDescent="0.2">
      <c r="A85" s="117">
        <v>46119.485092592593</v>
      </c>
      <c r="B85" s="119">
        <v>46119</v>
      </c>
      <c r="C85" s="122">
        <v>0.48509259259259258</v>
      </c>
      <c r="D85" s="49" t="s">
        <v>76</v>
      </c>
      <c r="E85" s="49" t="s">
        <v>93</v>
      </c>
      <c r="F85" s="49" t="s">
        <v>94</v>
      </c>
      <c r="G85" s="49" t="s">
        <v>130</v>
      </c>
      <c r="H85" s="49" t="s">
        <v>80</v>
      </c>
      <c r="I85" s="49" t="s">
        <v>136</v>
      </c>
      <c r="J85" s="51">
        <v>-269.45</v>
      </c>
      <c r="K85" s="51">
        <v>-266</v>
      </c>
      <c r="L85" s="49">
        <v>2</v>
      </c>
      <c r="M85" s="51">
        <v>-133</v>
      </c>
      <c r="N85" s="51">
        <v>-2</v>
      </c>
      <c r="O85" s="51">
        <v>-1.45</v>
      </c>
      <c r="P85" s="49">
        <v>100</v>
      </c>
      <c r="Q85" s="49" t="s">
        <v>82</v>
      </c>
      <c r="R85" s="49" t="s">
        <v>0</v>
      </c>
      <c r="S85" s="119">
        <v>46119</v>
      </c>
      <c r="T85" s="49">
        <v>6660</v>
      </c>
      <c r="U85" s="49" t="s">
        <v>101</v>
      </c>
      <c r="V85" s="49">
        <v>452264444</v>
      </c>
      <c r="W85" s="49" t="s">
        <v>84</v>
      </c>
    </row>
    <row r="86" spans="1:23" x14ac:dyDescent="0.2">
      <c r="A86" s="117">
        <v>46119.485092592593</v>
      </c>
      <c r="B86" s="119">
        <v>46119</v>
      </c>
      <c r="C86" s="122">
        <v>0.48509259259259258</v>
      </c>
      <c r="D86" s="49" t="s">
        <v>76</v>
      </c>
      <c r="E86" s="49" t="s">
        <v>96</v>
      </c>
      <c r="F86" s="49" t="s">
        <v>97</v>
      </c>
      <c r="G86" s="49" t="s">
        <v>134</v>
      </c>
      <c r="H86" s="49" t="s">
        <v>80</v>
      </c>
      <c r="I86" s="49" t="s">
        <v>137</v>
      </c>
      <c r="J86" s="51">
        <v>782.54</v>
      </c>
      <c r="K86" s="51">
        <v>786</v>
      </c>
      <c r="L86" s="49">
        <v>2</v>
      </c>
      <c r="M86" s="51">
        <v>393</v>
      </c>
      <c r="N86" s="51">
        <v>-2</v>
      </c>
      <c r="O86" s="51">
        <v>-1.46</v>
      </c>
      <c r="P86" s="49">
        <v>100</v>
      </c>
      <c r="Q86" s="49" t="s">
        <v>82</v>
      </c>
      <c r="R86" s="49" t="s">
        <v>0</v>
      </c>
      <c r="S86" s="119">
        <v>46119</v>
      </c>
      <c r="T86" s="49">
        <v>6620</v>
      </c>
      <c r="U86" s="49" t="s">
        <v>101</v>
      </c>
      <c r="V86" s="49">
        <v>452264444</v>
      </c>
      <c r="W86" s="49" t="s">
        <v>84</v>
      </c>
    </row>
    <row r="87" spans="1:23" x14ac:dyDescent="0.2">
      <c r="A87" s="117">
        <v>46119.461863425924</v>
      </c>
      <c r="B87" s="119">
        <v>46119</v>
      </c>
      <c r="C87" s="122">
        <v>0.46186342592592594</v>
      </c>
      <c r="D87" s="49" t="s">
        <v>76</v>
      </c>
      <c r="E87" s="49" t="s">
        <v>93</v>
      </c>
      <c r="F87" s="49" t="s">
        <v>94</v>
      </c>
      <c r="G87" s="49" t="s">
        <v>128</v>
      </c>
      <c r="H87" s="49" t="s">
        <v>80</v>
      </c>
      <c r="I87" s="49" t="s">
        <v>138</v>
      </c>
      <c r="J87" s="51">
        <v>-277.45</v>
      </c>
      <c r="K87" s="51">
        <v>-274</v>
      </c>
      <c r="L87" s="49">
        <v>2</v>
      </c>
      <c r="M87" s="51">
        <v>-137</v>
      </c>
      <c r="N87" s="51">
        <v>-2</v>
      </c>
      <c r="O87" s="51">
        <v>-1.45</v>
      </c>
      <c r="P87" s="49">
        <v>100</v>
      </c>
      <c r="Q87" s="49" t="s">
        <v>82</v>
      </c>
      <c r="R87" s="49" t="s">
        <v>0</v>
      </c>
      <c r="S87" s="119">
        <v>46119</v>
      </c>
      <c r="T87" s="49">
        <v>6460</v>
      </c>
      <c r="U87" s="49" t="s">
        <v>83</v>
      </c>
      <c r="V87" s="49">
        <v>452231617</v>
      </c>
      <c r="W87" s="49" t="s">
        <v>84</v>
      </c>
    </row>
    <row r="88" spans="1:23" x14ac:dyDescent="0.2">
      <c r="A88" s="117">
        <v>46119.461863425924</v>
      </c>
      <c r="B88" s="119">
        <v>46119</v>
      </c>
      <c r="C88" s="122">
        <v>0.46186342592592594</v>
      </c>
      <c r="D88" s="49" t="s">
        <v>76</v>
      </c>
      <c r="E88" s="49" t="s">
        <v>96</v>
      </c>
      <c r="F88" s="49" t="s">
        <v>97</v>
      </c>
      <c r="G88" s="49" t="s">
        <v>132</v>
      </c>
      <c r="H88" s="49" t="s">
        <v>80</v>
      </c>
      <c r="I88" s="49" t="s">
        <v>139</v>
      </c>
      <c r="J88" s="51">
        <v>810.54</v>
      </c>
      <c r="K88" s="51">
        <v>814</v>
      </c>
      <c r="L88" s="49">
        <v>2</v>
      </c>
      <c r="M88" s="51">
        <v>407</v>
      </c>
      <c r="N88" s="51">
        <v>-2</v>
      </c>
      <c r="O88" s="51">
        <v>-1.46</v>
      </c>
      <c r="P88" s="49">
        <v>100</v>
      </c>
      <c r="Q88" s="49" t="s">
        <v>82</v>
      </c>
      <c r="R88" s="49" t="s">
        <v>0</v>
      </c>
      <c r="S88" s="119">
        <v>46119</v>
      </c>
      <c r="T88" s="49">
        <v>6500</v>
      </c>
      <c r="U88" s="49" t="s">
        <v>83</v>
      </c>
      <c r="V88" s="49">
        <v>452231617</v>
      </c>
      <c r="W88" s="49" t="s">
        <v>84</v>
      </c>
    </row>
    <row r="89" spans="1:23" x14ac:dyDescent="0.2">
      <c r="A89" s="117">
        <v>46116.758530092593</v>
      </c>
      <c r="B89" s="119">
        <v>46116</v>
      </c>
      <c r="C89" s="122">
        <v>0.75853009259259263</v>
      </c>
      <c r="D89" s="49" t="s">
        <v>140</v>
      </c>
      <c r="E89" s="49" t="s">
        <v>141</v>
      </c>
      <c r="F89" s="49" t="s">
        <v>142</v>
      </c>
      <c r="G89" s="49" t="s">
        <v>142</v>
      </c>
      <c r="H89" s="49" t="s">
        <v>142</v>
      </c>
      <c r="I89" s="49" t="s">
        <v>143</v>
      </c>
      <c r="J89" s="51">
        <v>983.35</v>
      </c>
      <c r="K89" s="51">
        <v>983.35</v>
      </c>
      <c r="L89" s="49">
        <v>0</v>
      </c>
      <c r="N89" s="51">
        <v>0</v>
      </c>
      <c r="O89" s="51">
        <v>0</v>
      </c>
      <c r="Q89" s="49" t="s">
        <v>142</v>
      </c>
      <c r="R89" s="49" t="s">
        <v>142</v>
      </c>
      <c r="S89" s="119"/>
      <c r="U89" s="49" t="s">
        <v>142</v>
      </c>
      <c r="W89" s="49" t="s">
        <v>84</v>
      </c>
    </row>
    <row r="90" spans="1:23" x14ac:dyDescent="0.2">
      <c r="A90" s="117">
        <v>46114.75</v>
      </c>
      <c r="B90" s="119">
        <v>46114</v>
      </c>
      <c r="C90" s="122">
        <v>0.75</v>
      </c>
      <c r="D90" s="49" t="s">
        <v>140</v>
      </c>
      <c r="E90" s="49" t="s">
        <v>141</v>
      </c>
      <c r="F90" s="49" t="s">
        <v>142</v>
      </c>
      <c r="G90" s="49" t="s">
        <v>142</v>
      </c>
      <c r="H90" s="49" t="s">
        <v>142</v>
      </c>
      <c r="I90" s="49" t="s">
        <v>144</v>
      </c>
      <c r="J90" s="51">
        <v>7030.41</v>
      </c>
      <c r="K90" s="51">
        <v>7030.41</v>
      </c>
      <c r="L90" s="49">
        <v>0</v>
      </c>
      <c r="N90" s="51">
        <v>0</v>
      </c>
      <c r="O90" s="51">
        <v>0</v>
      </c>
      <c r="Q90" s="49" t="s">
        <v>142</v>
      </c>
      <c r="R90" s="49" t="s">
        <v>142</v>
      </c>
      <c r="S90" s="119"/>
      <c r="U90" s="49" t="s">
        <v>142</v>
      </c>
      <c r="W90" s="49" t="s">
        <v>84</v>
      </c>
    </row>
    <row r="91" spans="1:23" x14ac:dyDescent="0.2">
      <c r="A91" s="117">
        <v>46109.664317129631</v>
      </c>
      <c r="B91" s="119">
        <v>46109</v>
      </c>
      <c r="C91" s="122">
        <v>0.66431712962962963</v>
      </c>
      <c r="D91" s="49" t="s">
        <v>140</v>
      </c>
      <c r="E91" s="49" t="s">
        <v>145</v>
      </c>
      <c r="F91" s="49" t="s">
        <v>142</v>
      </c>
      <c r="G91" s="49" t="s">
        <v>142</v>
      </c>
      <c r="H91" s="49" t="s">
        <v>142</v>
      </c>
      <c r="I91" s="49" t="s">
        <v>146</v>
      </c>
      <c r="J91" s="51">
        <v>7.0000000000000007E-2</v>
      </c>
      <c r="K91" s="51">
        <v>7.0000000000000007E-2</v>
      </c>
      <c r="L91" s="49">
        <v>0</v>
      </c>
      <c r="N91" s="51">
        <v>0</v>
      </c>
      <c r="O91" s="51">
        <v>0</v>
      </c>
      <c r="Q91" s="49" t="s">
        <v>142</v>
      </c>
      <c r="R91" s="49" t="s">
        <v>142</v>
      </c>
      <c r="S91" s="119"/>
      <c r="U91" s="49" t="s">
        <v>142</v>
      </c>
      <c r="W91" s="49" t="s">
        <v>84</v>
      </c>
    </row>
    <row r="92" spans="1:23" x14ac:dyDescent="0.2">
      <c r="A92" s="117">
        <v>46108.63380787037</v>
      </c>
      <c r="B92" s="119">
        <v>46108</v>
      </c>
      <c r="C92" s="122">
        <v>0.63380787037037034</v>
      </c>
      <c r="D92" s="49" t="s">
        <v>76</v>
      </c>
      <c r="E92" s="49" t="s">
        <v>77</v>
      </c>
      <c r="F92" s="49" t="s">
        <v>78</v>
      </c>
      <c r="G92" s="49" t="s">
        <v>147</v>
      </c>
      <c r="H92" s="49" t="s">
        <v>80</v>
      </c>
      <c r="I92" s="49" t="s">
        <v>148</v>
      </c>
      <c r="J92" s="51">
        <v>162.54</v>
      </c>
      <c r="K92" s="51">
        <v>164</v>
      </c>
      <c r="L92" s="49">
        <v>2</v>
      </c>
      <c r="M92" s="51">
        <v>82</v>
      </c>
      <c r="N92" s="51">
        <v>0</v>
      </c>
      <c r="O92" s="51">
        <v>-1.46</v>
      </c>
      <c r="P92" s="49">
        <v>100</v>
      </c>
      <c r="Q92" s="49" t="s">
        <v>82</v>
      </c>
      <c r="R92" s="49" t="s">
        <v>0</v>
      </c>
      <c r="S92" s="119">
        <v>46108</v>
      </c>
      <c r="T92" s="49">
        <v>6310</v>
      </c>
      <c r="U92" s="49" t="s">
        <v>83</v>
      </c>
      <c r="V92" s="49">
        <v>450246733</v>
      </c>
      <c r="W92" s="49" t="s">
        <v>84</v>
      </c>
    </row>
    <row r="93" spans="1:23" x14ac:dyDescent="0.2">
      <c r="A93" s="117">
        <v>46108.63380787037</v>
      </c>
      <c r="B93" s="119">
        <v>46108</v>
      </c>
      <c r="C93" s="122">
        <v>0.63380787037037034</v>
      </c>
      <c r="D93" s="49" t="s">
        <v>76</v>
      </c>
      <c r="E93" s="49" t="s">
        <v>77</v>
      </c>
      <c r="F93" s="49" t="s">
        <v>78</v>
      </c>
      <c r="G93" s="49" t="s">
        <v>149</v>
      </c>
      <c r="H93" s="49" t="s">
        <v>80</v>
      </c>
      <c r="I93" s="49" t="s">
        <v>150</v>
      </c>
      <c r="J93" s="51">
        <v>42.54</v>
      </c>
      <c r="K93" s="51">
        <v>44</v>
      </c>
      <c r="L93" s="49">
        <v>2</v>
      </c>
      <c r="M93" s="51">
        <v>22</v>
      </c>
      <c r="N93" s="51">
        <v>0</v>
      </c>
      <c r="O93" s="51">
        <v>-1.46</v>
      </c>
      <c r="P93" s="49">
        <v>100</v>
      </c>
      <c r="Q93" s="49" t="s">
        <v>82</v>
      </c>
      <c r="R93" s="49" t="s">
        <v>0</v>
      </c>
      <c r="S93" s="119">
        <v>46108</v>
      </c>
      <c r="T93" s="49">
        <v>6555</v>
      </c>
      <c r="U93" s="49" t="s">
        <v>101</v>
      </c>
      <c r="V93" s="49">
        <v>450246733</v>
      </c>
      <c r="W93" s="49" t="s">
        <v>84</v>
      </c>
    </row>
    <row r="94" spans="1:23" x14ac:dyDescent="0.2">
      <c r="A94" s="117">
        <v>46108.63380787037</v>
      </c>
      <c r="B94" s="119">
        <v>46108</v>
      </c>
      <c r="C94" s="122">
        <v>0.63380787037037034</v>
      </c>
      <c r="D94" s="49" t="s">
        <v>76</v>
      </c>
      <c r="E94" s="49" t="s">
        <v>85</v>
      </c>
      <c r="F94" s="49" t="s">
        <v>86</v>
      </c>
      <c r="G94" s="49" t="s">
        <v>151</v>
      </c>
      <c r="H94" s="49" t="s">
        <v>80</v>
      </c>
      <c r="I94" s="49" t="s">
        <v>152</v>
      </c>
      <c r="J94" s="51">
        <v>-813.45</v>
      </c>
      <c r="K94" s="51">
        <v>-812</v>
      </c>
      <c r="L94" s="49">
        <v>2</v>
      </c>
      <c r="M94" s="51">
        <v>-406</v>
      </c>
      <c r="N94" s="51">
        <v>0</v>
      </c>
      <c r="O94" s="51">
        <v>-1.45</v>
      </c>
      <c r="P94" s="49">
        <v>100</v>
      </c>
      <c r="Q94" s="49" t="s">
        <v>82</v>
      </c>
      <c r="R94" s="49" t="s">
        <v>0</v>
      </c>
      <c r="S94" s="119">
        <v>46108</v>
      </c>
      <c r="T94" s="49">
        <v>6350</v>
      </c>
      <c r="U94" s="49" t="s">
        <v>83</v>
      </c>
      <c r="V94" s="49">
        <v>450246733</v>
      </c>
      <c r="W94" s="49" t="s">
        <v>84</v>
      </c>
    </row>
    <row r="95" spans="1:23" x14ac:dyDescent="0.2">
      <c r="A95" s="117">
        <v>46108.63380787037</v>
      </c>
      <c r="B95" s="119">
        <v>46108</v>
      </c>
      <c r="C95" s="122">
        <v>0.63380787037037034</v>
      </c>
      <c r="D95" s="49" t="s">
        <v>76</v>
      </c>
      <c r="E95" s="49" t="s">
        <v>85</v>
      </c>
      <c r="F95" s="49" t="s">
        <v>86</v>
      </c>
      <c r="G95" s="49" t="s">
        <v>153</v>
      </c>
      <c r="H95" s="49" t="s">
        <v>80</v>
      </c>
      <c r="I95" s="49" t="s">
        <v>154</v>
      </c>
      <c r="J95" s="51">
        <v>-77.45</v>
      </c>
      <c r="K95" s="51">
        <v>-76</v>
      </c>
      <c r="L95" s="49">
        <v>2</v>
      </c>
      <c r="M95" s="51">
        <v>-38</v>
      </c>
      <c r="N95" s="51">
        <v>0</v>
      </c>
      <c r="O95" s="51">
        <v>-1.45</v>
      </c>
      <c r="P95" s="49">
        <v>100</v>
      </c>
      <c r="Q95" s="49" t="s">
        <v>82</v>
      </c>
      <c r="R95" s="49" t="s">
        <v>0</v>
      </c>
      <c r="S95" s="119">
        <v>46108</v>
      </c>
      <c r="T95" s="49">
        <v>6515</v>
      </c>
      <c r="U95" s="49" t="s">
        <v>101</v>
      </c>
      <c r="V95" s="49">
        <v>450246733</v>
      </c>
      <c r="W95" s="49" t="s">
        <v>84</v>
      </c>
    </row>
    <row r="96" spans="1:23" x14ac:dyDescent="0.2">
      <c r="A96" s="117">
        <v>46108.452685185184</v>
      </c>
      <c r="B96" s="119">
        <v>46108</v>
      </c>
      <c r="C96" s="122">
        <v>0.45268518518518519</v>
      </c>
      <c r="D96" s="49" t="s">
        <v>76</v>
      </c>
      <c r="E96" s="49" t="s">
        <v>93</v>
      </c>
      <c r="F96" s="49" t="s">
        <v>94</v>
      </c>
      <c r="G96" s="49" t="s">
        <v>149</v>
      </c>
      <c r="H96" s="49" t="s">
        <v>80</v>
      </c>
      <c r="I96" s="49" t="s">
        <v>155</v>
      </c>
      <c r="J96" s="51">
        <v>-267.45</v>
      </c>
      <c r="K96" s="51">
        <v>-264</v>
      </c>
      <c r="L96" s="49">
        <v>2</v>
      </c>
      <c r="M96" s="51">
        <v>-132</v>
      </c>
      <c r="N96" s="51">
        <v>-2</v>
      </c>
      <c r="O96" s="51">
        <v>-1.45</v>
      </c>
      <c r="P96" s="49">
        <v>100</v>
      </c>
      <c r="Q96" s="49" t="s">
        <v>82</v>
      </c>
      <c r="R96" s="49" t="s">
        <v>0</v>
      </c>
      <c r="S96" s="119">
        <v>46108</v>
      </c>
      <c r="T96" s="49">
        <v>6555</v>
      </c>
      <c r="U96" s="49" t="s">
        <v>101</v>
      </c>
      <c r="V96" s="49">
        <v>450043232</v>
      </c>
      <c r="W96" s="49" t="s">
        <v>84</v>
      </c>
    </row>
    <row r="97" spans="1:23" x14ac:dyDescent="0.2">
      <c r="A97" s="117">
        <v>46108.452685185184</v>
      </c>
      <c r="B97" s="119">
        <v>46108</v>
      </c>
      <c r="C97" s="122">
        <v>0.45268518518518519</v>
      </c>
      <c r="D97" s="49" t="s">
        <v>76</v>
      </c>
      <c r="E97" s="49" t="s">
        <v>96</v>
      </c>
      <c r="F97" s="49" t="s">
        <v>97</v>
      </c>
      <c r="G97" s="49" t="s">
        <v>153</v>
      </c>
      <c r="H97" s="49" t="s">
        <v>80</v>
      </c>
      <c r="I97" s="49" t="s">
        <v>156</v>
      </c>
      <c r="J97" s="51">
        <v>570.54</v>
      </c>
      <c r="K97" s="51">
        <v>574</v>
      </c>
      <c r="L97" s="49">
        <v>2</v>
      </c>
      <c r="M97" s="51">
        <v>287</v>
      </c>
      <c r="N97" s="51">
        <v>-2</v>
      </c>
      <c r="O97" s="51">
        <v>-1.46</v>
      </c>
      <c r="P97" s="49">
        <v>100</v>
      </c>
      <c r="Q97" s="49" t="s">
        <v>82</v>
      </c>
      <c r="R97" s="49" t="s">
        <v>0</v>
      </c>
      <c r="S97" s="119">
        <v>46108</v>
      </c>
      <c r="T97" s="49">
        <v>6515</v>
      </c>
      <c r="U97" s="49" t="s">
        <v>101</v>
      </c>
      <c r="V97" s="49">
        <v>450043232</v>
      </c>
      <c r="W97" s="49" t="s">
        <v>84</v>
      </c>
    </row>
    <row r="98" spans="1:23" x14ac:dyDescent="0.2">
      <c r="A98" s="117">
        <v>46108.443240740744</v>
      </c>
      <c r="B98" s="119">
        <v>46108</v>
      </c>
      <c r="C98" s="122">
        <v>0.44324074074074077</v>
      </c>
      <c r="D98" s="49" t="s">
        <v>76</v>
      </c>
      <c r="E98" s="49" t="s">
        <v>96</v>
      </c>
      <c r="F98" s="49" t="s">
        <v>97</v>
      </c>
      <c r="G98" s="49" t="s">
        <v>151</v>
      </c>
      <c r="H98" s="49" t="s">
        <v>80</v>
      </c>
      <c r="I98" s="49" t="s">
        <v>157</v>
      </c>
      <c r="J98" s="51">
        <v>325.27999999999997</v>
      </c>
      <c r="K98" s="51">
        <v>327</v>
      </c>
      <c r="L98" s="49">
        <v>1</v>
      </c>
      <c r="M98" s="51">
        <v>327</v>
      </c>
      <c r="N98" s="51">
        <v>-1</v>
      </c>
      <c r="O98" s="51">
        <v>-0.72</v>
      </c>
      <c r="P98" s="49">
        <v>100</v>
      </c>
      <c r="Q98" s="49" t="s">
        <v>82</v>
      </c>
      <c r="R98" s="49" t="s">
        <v>0</v>
      </c>
      <c r="S98" s="119">
        <v>46108</v>
      </c>
      <c r="T98" s="49">
        <v>6350</v>
      </c>
      <c r="U98" s="49" t="s">
        <v>83</v>
      </c>
      <c r="V98" s="49">
        <v>450021795</v>
      </c>
      <c r="W98" s="49" t="s">
        <v>84</v>
      </c>
    </row>
    <row r="99" spans="1:23" x14ac:dyDescent="0.2">
      <c r="A99" s="117">
        <v>46108.443240740744</v>
      </c>
      <c r="B99" s="119">
        <v>46108</v>
      </c>
      <c r="C99" s="122">
        <v>0.44324074074074077</v>
      </c>
      <c r="D99" s="49" t="s">
        <v>76</v>
      </c>
      <c r="E99" s="49" t="s">
        <v>93</v>
      </c>
      <c r="F99" s="49" t="s">
        <v>94</v>
      </c>
      <c r="G99" s="49" t="s">
        <v>147</v>
      </c>
      <c r="H99" s="49" t="s">
        <v>80</v>
      </c>
      <c r="I99" s="49" t="s">
        <v>158</v>
      </c>
      <c r="J99" s="51">
        <v>-123.72</v>
      </c>
      <c r="K99" s="51">
        <v>-122</v>
      </c>
      <c r="L99" s="49">
        <v>1</v>
      </c>
      <c r="M99" s="51">
        <v>-122</v>
      </c>
      <c r="N99" s="51">
        <v>-1</v>
      </c>
      <c r="O99" s="51">
        <v>-0.72</v>
      </c>
      <c r="P99" s="49">
        <v>100</v>
      </c>
      <c r="Q99" s="49" t="s">
        <v>82</v>
      </c>
      <c r="R99" s="49" t="s">
        <v>0</v>
      </c>
      <c r="S99" s="119">
        <v>46108</v>
      </c>
      <c r="T99" s="49">
        <v>6310</v>
      </c>
      <c r="U99" s="49" t="s">
        <v>83</v>
      </c>
      <c r="V99" s="49">
        <v>450021795</v>
      </c>
      <c r="W99" s="49" t="s">
        <v>84</v>
      </c>
    </row>
    <row r="100" spans="1:23" x14ac:dyDescent="0.2">
      <c r="A100" s="117">
        <v>46108.443240740744</v>
      </c>
      <c r="B100" s="119">
        <v>46108</v>
      </c>
      <c r="C100" s="122">
        <v>0.44324074074074077</v>
      </c>
      <c r="D100" s="49" t="s">
        <v>76</v>
      </c>
      <c r="E100" s="49" t="s">
        <v>96</v>
      </c>
      <c r="F100" s="49" t="s">
        <v>97</v>
      </c>
      <c r="G100" s="49" t="s">
        <v>151</v>
      </c>
      <c r="H100" s="49" t="s">
        <v>80</v>
      </c>
      <c r="I100" s="49" t="s">
        <v>157</v>
      </c>
      <c r="J100" s="51">
        <v>325.27999999999997</v>
      </c>
      <c r="K100" s="51">
        <v>327</v>
      </c>
      <c r="L100" s="49">
        <v>1</v>
      </c>
      <c r="M100" s="51">
        <v>327</v>
      </c>
      <c r="N100" s="51">
        <v>-1</v>
      </c>
      <c r="O100" s="51">
        <v>-0.72</v>
      </c>
      <c r="P100" s="49">
        <v>100</v>
      </c>
      <c r="Q100" s="49" t="s">
        <v>82</v>
      </c>
      <c r="R100" s="49" t="s">
        <v>0</v>
      </c>
      <c r="S100" s="119">
        <v>46108</v>
      </c>
      <c r="T100" s="49">
        <v>6350</v>
      </c>
      <c r="U100" s="49" t="s">
        <v>83</v>
      </c>
      <c r="V100" s="49">
        <v>450021795</v>
      </c>
      <c r="W100" s="49" t="s">
        <v>84</v>
      </c>
    </row>
    <row r="101" spans="1:23" x14ac:dyDescent="0.2">
      <c r="A101" s="117">
        <v>46108.443240740744</v>
      </c>
      <c r="B101" s="119">
        <v>46108</v>
      </c>
      <c r="C101" s="122">
        <v>0.44324074074074077</v>
      </c>
      <c r="D101" s="49" t="s">
        <v>76</v>
      </c>
      <c r="E101" s="49" t="s">
        <v>93</v>
      </c>
      <c r="F101" s="49" t="s">
        <v>94</v>
      </c>
      <c r="G101" s="49" t="s">
        <v>147</v>
      </c>
      <c r="H101" s="49" t="s">
        <v>80</v>
      </c>
      <c r="I101" s="49" t="s">
        <v>158</v>
      </c>
      <c r="J101" s="51">
        <v>-123.72</v>
      </c>
      <c r="K101" s="51">
        <v>-122</v>
      </c>
      <c r="L101" s="49">
        <v>1</v>
      </c>
      <c r="M101" s="51">
        <v>-122</v>
      </c>
      <c r="N101" s="51">
        <v>-1</v>
      </c>
      <c r="O101" s="51">
        <v>-0.72</v>
      </c>
      <c r="P101" s="49">
        <v>100</v>
      </c>
      <c r="Q101" s="49" t="s">
        <v>82</v>
      </c>
      <c r="R101" s="49" t="s">
        <v>0</v>
      </c>
      <c r="S101" s="119">
        <v>46108</v>
      </c>
      <c r="T101" s="49">
        <v>6310</v>
      </c>
      <c r="U101" s="49" t="s">
        <v>83</v>
      </c>
      <c r="V101" s="49">
        <v>450021795</v>
      </c>
      <c r="W101" s="49" t="s">
        <v>84</v>
      </c>
    </row>
    <row r="102" spans="1:23" x14ac:dyDescent="0.2">
      <c r="A102" s="117">
        <v>46107.708333333336</v>
      </c>
      <c r="B102" s="119">
        <v>46107</v>
      </c>
      <c r="C102" s="122">
        <v>0.70833333333333337</v>
      </c>
      <c r="D102" s="49" t="s">
        <v>159</v>
      </c>
      <c r="E102" s="49" t="s">
        <v>160</v>
      </c>
      <c r="F102" s="49" t="s">
        <v>86</v>
      </c>
      <c r="G102" s="49" t="s">
        <v>161</v>
      </c>
      <c r="H102" s="49" t="s">
        <v>80</v>
      </c>
      <c r="I102" s="49" t="s">
        <v>162</v>
      </c>
      <c r="J102" s="51">
        <v>0</v>
      </c>
      <c r="K102" s="51">
        <v>0</v>
      </c>
      <c r="L102" s="49">
        <v>2</v>
      </c>
      <c r="M102" s="51">
        <v>0</v>
      </c>
      <c r="N102" s="51">
        <v>0</v>
      </c>
      <c r="O102" s="51">
        <v>0</v>
      </c>
      <c r="P102" s="49">
        <v>100</v>
      </c>
      <c r="Q102" s="49" t="s">
        <v>82</v>
      </c>
      <c r="R102" s="49" t="s">
        <v>0</v>
      </c>
      <c r="S102" s="119">
        <v>46107</v>
      </c>
      <c r="T102" s="49">
        <v>6610</v>
      </c>
      <c r="U102" s="49" t="s">
        <v>101</v>
      </c>
      <c r="W102" s="49" t="s">
        <v>84</v>
      </c>
    </row>
    <row r="103" spans="1:23" x14ac:dyDescent="0.2">
      <c r="A103" s="117">
        <v>46107.708333333336</v>
      </c>
      <c r="B103" s="119">
        <v>46107</v>
      </c>
      <c r="C103" s="122">
        <v>0.70833333333333337</v>
      </c>
      <c r="D103" s="49" t="s">
        <v>159</v>
      </c>
      <c r="E103" s="49" t="s">
        <v>160</v>
      </c>
      <c r="F103" s="49" t="s">
        <v>78</v>
      </c>
      <c r="G103" s="49" t="s">
        <v>163</v>
      </c>
      <c r="H103" s="49" t="s">
        <v>80</v>
      </c>
      <c r="I103" s="49" t="s">
        <v>164</v>
      </c>
      <c r="J103" s="51">
        <v>0</v>
      </c>
      <c r="K103" s="51">
        <v>0</v>
      </c>
      <c r="L103" s="49">
        <v>2</v>
      </c>
      <c r="M103" s="51">
        <v>0</v>
      </c>
      <c r="N103" s="51">
        <v>0</v>
      </c>
      <c r="O103" s="51">
        <v>0</v>
      </c>
      <c r="P103" s="49">
        <v>100</v>
      </c>
      <c r="Q103" s="49" t="s">
        <v>82</v>
      </c>
      <c r="R103" s="49" t="s">
        <v>0</v>
      </c>
      <c r="S103" s="119">
        <v>46107</v>
      </c>
      <c r="T103" s="49">
        <v>6650</v>
      </c>
      <c r="U103" s="49" t="s">
        <v>101</v>
      </c>
      <c r="W103" s="49" t="s">
        <v>84</v>
      </c>
    </row>
    <row r="104" spans="1:23" x14ac:dyDescent="0.2">
      <c r="A104" s="117">
        <v>46107.623020833336</v>
      </c>
      <c r="B104" s="119">
        <v>46107</v>
      </c>
      <c r="C104" s="122">
        <v>0.62302083333333336</v>
      </c>
      <c r="D104" s="49" t="s">
        <v>76</v>
      </c>
      <c r="E104" s="49" t="s">
        <v>85</v>
      </c>
      <c r="F104" s="49" t="s">
        <v>86</v>
      </c>
      <c r="G104" s="49" t="s">
        <v>165</v>
      </c>
      <c r="H104" s="49" t="s">
        <v>80</v>
      </c>
      <c r="I104" s="49" t="s">
        <v>166</v>
      </c>
      <c r="J104" s="51">
        <v>-2795.45</v>
      </c>
      <c r="K104" s="51">
        <v>-2794</v>
      </c>
      <c r="L104" s="49">
        <v>2</v>
      </c>
      <c r="M104" s="51">
        <v>-1397</v>
      </c>
      <c r="N104" s="51">
        <v>0</v>
      </c>
      <c r="O104" s="51">
        <v>-1.45</v>
      </c>
      <c r="P104" s="49">
        <v>100</v>
      </c>
      <c r="Q104" s="49" t="s">
        <v>82</v>
      </c>
      <c r="R104" s="49" t="s">
        <v>0</v>
      </c>
      <c r="S104" s="119">
        <v>46107</v>
      </c>
      <c r="T104" s="49">
        <v>6500</v>
      </c>
      <c r="U104" s="49" t="s">
        <v>83</v>
      </c>
      <c r="V104" s="49">
        <v>449866705</v>
      </c>
      <c r="W104" s="49" t="s">
        <v>84</v>
      </c>
    </row>
    <row r="105" spans="1:23" x14ac:dyDescent="0.2">
      <c r="A105" s="117">
        <v>46107.623020833336</v>
      </c>
      <c r="B105" s="119">
        <v>46107</v>
      </c>
      <c r="C105" s="122">
        <v>0.62302083333333336</v>
      </c>
      <c r="D105" s="49" t="s">
        <v>76</v>
      </c>
      <c r="E105" s="49" t="s">
        <v>77</v>
      </c>
      <c r="F105" s="49" t="s">
        <v>78</v>
      </c>
      <c r="G105" s="49" t="s">
        <v>167</v>
      </c>
      <c r="H105" s="49" t="s">
        <v>80</v>
      </c>
      <c r="I105" s="49" t="s">
        <v>168</v>
      </c>
      <c r="J105" s="51">
        <v>382.54</v>
      </c>
      <c r="K105" s="51">
        <v>384</v>
      </c>
      <c r="L105" s="49">
        <v>2</v>
      </c>
      <c r="M105" s="51">
        <v>192</v>
      </c>
      <c r="N105" s="51">
        <v>0</v>
      </c>
      <c r="O105" s="51">
        <v>-1.46</v>
      </c>
      <c r="P105" s="49">
        <v>100</v>
      </c>
      <c r="Q105" s="49" t="s">
        <v>82</v>
      </c>
      <c r="R105" s="49" t="s">
        <v>0</v>
      </c>
      <c r="S105" s="119">
        <v>46107</v>
      </c>
      <c r="T105" s="49">
        <v>6455</v>
      </c>
      <c r="U105" s="49" t="s">
        <v>83</v>
      </c>
      <c r="V105" s="49">
        <v>449866705</v>
      </c>
      <c r="W105" s="49" t="s">
        <v>84</v>
      </c>
    </row>
    <row r="106" spans="1:23" x14ac:dyDescent="0.2">
      <c r="A106" s="117">
        <v>46107.529097222221</v>
      </c>
      <c r="B106" s="119">
        <v>46107</v>
      </c>
      <c r="C106" s="122">
        <v>0.52909722222222222</v>
      </c>
      <c r="D106" s="49" t="s">
        <v>76</v>
      </c>
      <c r="E106" s="49" t="s">
        <v>96</v>
      </c>
      <c r="F106" s="49" t="s">
        <v>97</v>
      </c>
      <c r="G106" s="49" t="s">
        <v>165</v>
      </c>
      <c r="H106" s="49" t="s">
        <v>80</v>
      </c>
      <c r="I106" s="49" t="s">
        <v>169</v>
      </c>
      <c r="J106" s="51">
        <v>323.27999999999997</v>
      </c>
      <c r="K106" s="51">
        <v>325</v>
      </c>
      <c r="L106" s="49">
        <v>1</v>
      </c>
      <c r="M106" s="51">
        <v>325</v>
      </c>
      <c r="N106" s="51">
        <v>-1</v>
      </c>
      <c r="O106" s="51">
        <v>-0.72</v>
      </c>
      <c r="P106" s="49">
        <v>100</v>
      </c>
      <c r="Q106" s="49" t="s">
        <v>82</v>
      </c>
      <c r="R106" s="49" t="s">
        <v>0</v>
      </c>
      <c r="S106" s="119">
        <v>46107</v>
      </c>
      <c r="T106" s="49">
        <v>6500</v>
      </c>
      <c r="U106" s="49" t="s">
        <v>83</v>
      </c>
      <c r="V106" s="49">
        <v>449782500</v>
      </c>
      <c r="W106" s="49" t="s">
        <v>84</v>
      </c>
    </row>
    <row r="107" spans="1:23" x14ac:dyDescent="0.2">
      <c r="A107" s="117">
        <v>46107.529097222221</v>
      </c>
      <c r="B107" s="119">
        <v>46107</v>
      </c>
      <c r="C107" s="122">
        <v>0.52909722222222222</v>
      </c>
      <c r="D107" s="49" t="s">
        <v>76</v>
      </c>
      <c r="E107" s="49" t="s">
        <v>93</v>
      </c>
      <c r="F107" s="49" t="s">
        <v>94</v>
      </c>
      <c r="G107" s="49" t="s">
        <v>167</v>
      </c>
      <c r="H107" s="49" t="s">
        <v>80</v>
      </c>
      <c r="I107" s="49" t="s">
        <v>170</v>
      </c>
      <c r="J107" s="51">
        <v>-61.72</v>
      </c>
      <c r="K107" s="51">
        <v>-60</v>
      </c>
      <c r="L107" s="49">
        <v>1</v>
      </c>
      <c r="M107" s="51">
        <v>-60</v>
      </c>
      <c r="N107" s="51">
        <v>-1</v>
      </c>
      <c r="O107" s="51">
        <v>-0.72</v>
      </c>
      <c r="P107" s="49">
        <v>100</v>
      </c>
      <c r="Q107" s="49" t="s">
        <v>82</v>
      </c>
      <c r="R107" s="49" t="s">
        <v>0</v>
      </c>
      <c r="S107" s="119">
        <v>46107</v>
      </c>
      <c r="T107" s="49">
        <v>6455</v>
      </c>
      <c r="U107" s="49" t="s">
        <v>83</v>
      </c>
      <c r="V107" s="49">
        <v>449782500</v>
      </c>
      <c r="W107" s="49" t="s">
        <v>84</v>
      </c>
    </row>
    <row r="108" spans="1:23" x14ac:dyDescent="0.2">
      <c r="A108" s="117">
        <v>46107.529097222221</v>
      </c>
      <c r="B108" s="119">
        <v>46107</v>
      </c>
      <c r="C108" s="122">
        <v>0.52909722222222222</v>
      </c>
      <c r="D108" s="49" t="s">
        <v>76</v>
      </c>
      <c r="E108" s="49" t="s">
        <v>96</v>
      </c>
      <c r="F108" s="49" t="s">
        <v>97</v>
      </c>
      <c r="G108" s="49" t="s">
        <v>165</v>
      </c>
      <c r="H108" s="49" t="s">
        <v>80</v>
      </c>
      <c r="I108" s="49" t="s">
        <v>169</v>
      </c>
      <c r="J108" s="51">
        <v>323.27999999999997</v>
      </c>
      <c r="K108" s="51">
        <v>325</v>
      </c>
      <c r="L108" s="49">
        <v>1</v>
      </c>
      <c r="M108" s="51">
        <v>325</v>
      </c>
      <c r="N108" s="51">
        <v>-1</v>
      </c>
      <c r="O108" s="51">
        <v>-0.72</v>
      </c>
      <c r="P108" s="49">
        <v>100</v>
      </c>
      <c r="Q108" s="49" t="s">
        <v>82</v>
      </c>
      <c r="R108" s="49" t="s">
        <v>0</v>
      </c>
      <c r="S108" s="119">
        <v>46107</v>
      </c>
      <c r="T108" s="49">
        <v>6500</v>
      </c>
      <c r="U108" s="49" t="s">
        <v>83</v>
      </c>
      <c r="V108" s="49">
        <v>449782500</v>
      </c>
      <c r="W108" s="49" t="s">
        <v>84</v>
      </c>
    </row>
    <row r="109" spans="1:23" x14ac:dyDescent="0.2">
      <c r="A109" s="117">
        <v>46107.529097222221</v>
      </c>
      <c r="B109" s="119">
        <v>46107</v>
      </c>
      <c r="C109" s="122">
        <v>0.52909722222222222</v>
      </c>
      <c r="D109" s="49" t="s">
        <v>76</v>
      </c>
      <c r="E109" s="49" t="s">
        <v>93</v>
      </c>
      <c r="F109" s="49" t="s">
        <v>94</v>
      </c>
      <c r="G109" s="49" t="s">
        <v>167</v>
      </c>
      <c r="H109" s="49" t="s">
        <v>80</v>
      </c>
      <c r="I109" s="49" t="s">
        <v>170</v>
      </c>
      <c r="J109" s="51">
        <v>-61.72</v>
      </c>
      <c r="K109" s="51">
        <v>-60</v>
      </c>
      <c r="L109" s="49">
        <v>1</v>
      </c>
      <c r="M109" s="51">
        <v>-60</v>
      </c>
      <c r="N109" s="51">
        <v>-1</v>
      </c>
      <c r="O109" s="51">
        <v>-0.72</v>
      </c>
      <c r="P109" s="49">
        <v>100</v>
      </c>
      <c r="Q109" s="49" t="s">
        <v>82</v>
      </c>
      <c r="R109" s="49" t="s">
        <v>0</v>
      </c>
      <c r="S109" s="119">
        <v>46107</v>
      </c>
      <c r="T109" s="49">
        <v>6455</v>
      </c>
      <c r="U109" s="49" t="s">
        <v>83</v>
      </c>
      <c r="V109" s="49">
        <v>449782500</v>
      </c>
      <c r="W109" s="49" t="s">
        <v>84</v>
      </c>
    </row>
    <row r="110" spans="1:23" x14ac:dyDescent="0.2">
      <c r="A110" s="117">
        <v>46107.442557870374</v>
      </c>
      <c r="B110" s="119">
        <v>46107</v>
      </c>
      <c r="C110" s="122">
        <v>0.44255787037037037</v>
      </c>
      <c r="D110" s="49" t="s">
        <v>76</v>
      </c>
      <c r="E110" s="49" t="s">
        <v>96</v>
      </c>
      <c r="F110" s="49" t="s">
        <v>97</v>
      </c>
      <c r="G110" s="49" t="s">
        <v>161</v>
      </c>
      <c r="H110" s="49" t="s">
        <v>80</v>
      </c>
      <c r="I110" s="49" t="s">
        <v>171</v>
      </c>
      <c r="J110" s="51">
        <v>258.27999999999997</v>
      </c>
      <c r="K110" s="51">
        <v>260</v>
      </c>
      <c r="L110" s="49">
        <v>1</v>
      </c>
      <c r="M110" s="51">
        <v>260</v>
      </c>
      <c r="N110" s="51">
        <v>-1</v>
      </c>
      <c r="O110" s="51">
        <v>-0.72</v>
      </c>
      <c r="P110" s="49">
        <v>100</v>
      </c>
      <c r="Q110" s="49" t="s">
        <v>82</v>
      </c>
      <c r="R110" s="49" t="s">
        <v>0</v>
      </c>
      <c r="S110" s="119">
        <v>46107</v>
      </c>
      <c r="T110" s="49">
        <v>6610</v>
      </c>
      <c r="U110" s="49" t="s">
        <v>101</v>
      </c>
      <c r="V110" s="49">
        <v>449668980</v>
      </c>
      <c r="W110" s="49" t="s">
        <v>84</v>
      </c>
    </row>
    <row r="111" spans="1:23" x14ac:dyDescent="0.2">
      <c r="A111" s="117">
        <v>46107.442557870374</v>
      </c>
      <c r="B111" s="119">
        <v>46107</v>
      </c>
      <c r="C111" s="122">
        <v>0.44255787037037037</v>
      </c>
      <c r="D111" s="49" t="s">
        <v>76</v>
      </c>
      <c r="E111" s="49" t="s">
        <v>93</v>
      </c>
      <c r="F111" s="49" t="s">
        <v>94</v>
      </c>
      <c r="G111" s="49" t="s">
        <v>163</v>
      </c>
      <c r="H111" s="49" t="s">
        <v>80</v>
      </c>
      <c r="I111" s="49" t="s">
        <v>172</v>
      </c>
      <c r="J111" s="51">
        <v>-76.72</v>
      </c>
      <c r="K111" s="51">
        <v>-75</v>
      </c>
      <c r="L111" s="49">
        <v>1</v>
      </c>
      <c r="M111" s="51">
        <v>-75</v>
      </c>
      <c r="N111" s="51">
        <v>-1</v>
      </c>
      <c r="O111" s="51">
        <v>-0.72</v>
      </c>
      <c r="P111" s="49">
        <v>100</v>
      </c>
      <c r="Q111" s="49" t="s">
        <v>82</v>
      </c>
      <c r="R111" s="49" t="s">
        <v>0</v>
      </c>
      <c r="S111" s="119">
        <v>46107</v>
      </c>
      <c r="T111" s="49">
        <v>6650</v>
      </c>
      <c r="U111" s="49" t="s">
        <v>101</v>
      </c>
      <c r="V111" s="49">
        <v>449668980</v>
      </c>
      <c r="W111" s="49" t="s">
        <v>84</v>
      </c>
    </row>
    <row r="112" spans="1:23" x14ac:dyDescent="0.2">
      <c r="A112" s="117">
        <v>46107.442557870374</v>
      </c>
      <c r="B112" s="119">
        <v>46107</v>
      </c>
      <c r="C112" s="122">
        <v>0.44255787037037037</v>
      </c>
      <c r="D112" s="49" t="s">
        <v>76</v>
      </c>
      <c r="E112" s="49" t="s">
        <v>96</v>
      </c>
      <c r="F112" s="49" t="s">
        <v>97</v>
      </c>
      <c r="G112" s="49" t="s">
        <v>161</v>
      </c>
      <c r="H112" s="49" t="s">
        <v>80</v>
      </c>
      <c r="I112" s="49" t="s">
        <v>171</v>
      </c>
      <c r="J112" s="51">
        <v>258.27999999999997</v>
      </c>
      <c r="K112" s="51">
        <v>260</v>
      </c>
      <c r="L112" s="49">
        <v>1</v>
      </c>
      <c r="M112" s="51">
        <v>260</v>
      </c>
      <c r="N112" s="51">
        <v>-1</v>
      </c>
      <c r="O112" s="51">
        <v>-0.72</v>
      </c>
      <c r="P112" s="49">
        <v>100</v>
      </c>
      <c r="Q112" s="49" t="s">
        <v>82</v>
      </c>
      <c r="R112" s="49" t="s">
        <v>0</v>
      </c>
      <c r="S112" s="119">
        <v>46107</v>
      </c>
      <c r="T112" s="49">
        <v>6610</v>
      </c>
      <c r="U112" s="49" t="s">
        <v>101</v>
      </c>
      <c r="V112" s="49">
        <v>449668980</v>
      </c>
      <c r="W112" s="49" t="s">
        <v>84</v>
      </c>
    </row>
    <row r="113" spans="1:23" x14ac:dyDescent="0.2">
      <c r="A113" s="117">
        <v>46107.442557870374</v>
      </c>
      <c r="B113" s="119">
        <v>46107</v>
      </c>
      <c r="C113" s="122">
        <v>0.44255787037037037</v>
      </c>
      <c r="D113" s="49" t="s">
        <v>76</v>
      </c>
      <c r="E113" s="49" t="s">
        <v>93</v>
      </c>
      <c r="F113" s="49" t="s">
        <v>94</v>
      </c>
      <c r="G113" s="49" t="s">
        <v>163</v>
      </c>
      <c r="H113" s="49" t="s">
        <v>80</v>
      </c>
      <c r="I113" s="49" t="s">
        <v>172</v>
      </c>
      <c r="J113" s="51">
        <v>-76.72</v>
      </c>
      <c r="K113" s="51">
        <v>-75</v>
      </c>
      <c r="L113" s="49">
        <v>1</v>
      </c>
      <c r="M113" s="51">
        <v>-75</v>
      </c>
      <c r="N113" s="51">
        <v>-1</v>
      </c>
      <c r="O113" s="51">
        <v>-0.72</v>
      </c>
      <c r="P113" s="49">
        <v>100</v>
      </c>
      <c r="Q113" s="49" t="s">
        <v>82</v>
      </c>
      <c r="R113" s="49" t="s">
        <v>0</v>
      </c>
      <c r="S113" s="119">
        <v>46107</v>
      </c>
      <c r="T113" s="49">
        <v>6650</v>
      </c>
      <c r="U113" s="49" t="s">
        <v>101</v>
      </c>
      <c r="V113" s="49">
        <v>449668980</v>
      </c>
      <c r="W113" s="49" t="s">
        <v>84</v>
      </c>
    </row>
    <row r="114" spans="1:23" x14ac:dyDescent="0.2">
      <c r="A114" s="117">
        <v>46106.680358796293</v>
      </c>
      <c r="B114" s="119">
        <v>46106</v>
      </c>
      <c r="C114" s="122">
        <v>0.68035879629629625</v>
      </c>
      <c r="D114" s="49" t="s">
        <v>76</v>
      </c>
      <c r="E114" s="49" t="s">
        <v>77</v>
      </c>
      <c r="F114" s="49" t="s">
        <v>78</v>
      </c>
      <c r="G114" s="49" t="s">
        <v>173</v>
      </c>
      <c r="H114" s="49" t="s">
        <v>80</v>
      </c>
      <c r="I114" s="49" t="s">
        <v>174</v>
      </c>
      <c r="J114" s="51">
        <v>12.54</v>
      </c>
      <c r="K114" s="51">
        <v>14</v>
      </c>
      <c r="L114" s="49">
        <v>2</v>
      </c>
      <c r="M114" s="51">
        <v>7</v>
      </c>
      <c r="N114" s="51">
        <v>0</v>
      </c>
      <c r="O114" s="51">
        <v>-1.46</v>
      </c>
      <c r="P114" s="49">
        <v>100</v>
      </c>
      <c r="Q114" s="49" t="s">
        <v>82</v>
      </c>
      <c r="R114" s="49" t="s">
        <v>0</v>
      </c>
      <c r="S114" s="119">
        <v>46106</v>
      </c>
      <c r="T114" s="49">
        <v>6525</v>
      </c>
      <c r="U114" s="49" t="s">
        <v>83</v>
      </c>
      <c r="V114" s="49">
        <v>449584001</v>
      </c>
      <c r="W114" s="49" t="s">
        <v>84</v>
      </c>
    </row>
    <row r="115" spans="1:23" x14ac:dyDescent="0.2">
      <c r="A115" s="117">
        <v>46106.680358796293</v>
      </c>
      <c r="B115" s="119">
        <v>46106</v>
      </c>
      <c r="C115" s="122">
        <v>0.68035879629629625</v>
      </c>
      <c r="D115" s="49" t="s">
        <v>76</v>
      </c>
      <c r="E115" s="49" t="s">
        <v>77</v>
      </c>
      <c r="F115" s="49" t="s">
        <v>78</v>
      </c>
      <c r="G115" s="49" t="s">
        <v>175</v>
      </c>
      <c r="H115" s="49" t="s">
        <v>80</v>
      </c>
      <c r="I115" s="49" t="s">
        <v>176</v>
      </c>
      <c r="J115" s="51">
        <v>4.54</v>
      </c>
      <c r="K115" s="51">
        <v>6</v>
      </c>
      <c r="L115" s="49">
        <v>2</v>
      </c>
      <c r="M115" s="51">
        <v>3</v>
      </c>
      <c r="N115" s="51">
        <v>0</v>
      </c>
      <c r="O115" s="51">
        <v>-1.46</v>
      </c>
      <c r="P115" s="49">
        <v>100</v>
      </c>
      <c r="Q115" s="49" t="s">
        <v>82</v>
      </c>
      <c r="R115" s="49" t="s">
        <v>0</v>
      </c>
      <c r="S115" s="119">
        <v>46106</v>
      </c>
      <c r="T115" s="49">
        <v>6725</v>
      </c>
      <c r="U115" s="49" t="s">
        <v>101</v>
      </c>
      <c r="V115" s="49">
        <v>449584001</v>
      </c>
      <c r="W115" s="49" t="s">
        <v>84</v>
      </c>
    </row>
    <row r="116" spans="1:23" x14ac:dyDescent="0.2">
      <c r="A116" s="117">
        <v>46106.680358796293</v>
      </c>
      <c r="B116" s="119">
        <v>46106</v>
      </c>
      <c r="C116" s="122">
        <v>0.68035879629629625</v>
      </c>
      <c r="D116" s="49" t="s">
        <v>76</v>
      </c>
      <c r="E116" s="49" t="s">
        <v>85</v>
      </c>
      <c r="F116" s="49" t="s">
        <v>86</v>
      </c>
      <c r="G116" s="49" t="s">
        <v>177</v>
      </c>
      <c r="H116" s="49" t="s">
        <v>80</v>
      </c>
      <c r="I116" s="49" t="s">
        <v>178</v>
      </c>
      <c r="J116" s="51">
        <v>-123.45</v>
      </c>
      <c r="K116" s="51">
        <v>-122</v>
      </c>
      <c r="L116" s="49">
        <v>2</v>
      </c>
      <c r="M116" s="51">
        <v>-61</v>
      </c>
      <c r="N116" s="51">
        <v>0</v>
      </c>
      <c r="O116" s="51">
        <v>-1.45</v>
      </c>
      <c r="P116" s="49">
        <v>100</v>
      </c>
      <c r="Q116" s="49" t="s">
        <v>82</v>
      </c>
      <c r="R116" s="49" t="s">
        <v>0</v>
      </c>
      <c r="S116" s="119">
        <v>46106</v>
      </c>
      <c r="T116" s="49">
        <v>6565</v>
      </c>
      <c r="U116" s="49" t="s">
        <v>83</v>
      </c>
      <c r="V116" s="49">
        <v>449584001</v>
      </c>
      <c r="W116" s="49" t="s">
        <v>84</v>
      </c>
    </row>
    <row r="117" spans="1:23" x14ac:dyDescent="0.2">
      <c r="A117" s="117">
        <v>46106.680358796293</v>
      </c>
      <c r="B117" s="119">
        <v>46106</v>
      </c>
      <c r="C117" s="122">
        <v>0.68035879629629625</v>
      </c>
      <c r="D117" s="49" t="s">
        <v>76</v>
      </c>
      <c r="E117" s="49" t="s">
        <v>85</v>
      </c>
      <c r="F117" s="49" t="s">
        <v>86</v>
      </c>
      <c r="G117" s="49" t="s">
        <v>179</v>
      </c>
      <c r="H117" s="49" t="s">
        <v>80</v>
      </c>
      <c r="I117" s="49" t="s">
        <v>180</v>
      </c>
      <c r="J117" s="51">
        <v>-9.4499999999999993</v>
      </c>
      <c r="K117" s="51">
        <v>-8</v>
      </c>
      <c r="L117" s="49">
        <v>2</v>
      </c>
      <c r="M117" s="51">
        <v>-4</v>
      </c>
      <c r="N117" s="51">
        <v>0</v>
      </c>
      <c r="O117" s="51">
        <v>-1.45</v>
      </c>
      <c r="P117" s="49">
        <v>100</v>
      </c>
      <c r="Q117" s="49" t="s">
        <v>82</v>
      </c>
      <c r="R117" s="49" t="s">
        <v>0</v>
      </c>
      <c r="S117" s="119">
        <v>46106</v>
      </c>
      <c r="T117" s="49">
        <v>6685</v>
      </c>
      <c r="U117" s="49" t="s">
        <v>101</v>
      </c>
      <c r="V117" s="49">
        <v>449584001</v>
      </c>
      <c r="W117" s="49" t="s">
        <v>84</v>
      </c>
    </row>
    <row r="118" spans="1:23" x14ac:dyDescent="0.2">
      <c r="A118" s="117">
        <v>46106.447696759256</v>
      </c>
      <c r="B118" s="119">
        <v>46106</v>
      </c>
      <c r="C118" s="122">
        <v>0.44769675925925928</v>
      </c>
      <c r="D118" s="49" t="s">
        <v>76</v>
      </c>
      <c r="E118" s="49" t="s">
        <v>96</v>
      </c>
      <c r="F118" s="49" t="s">
        <v>97</v>
      </c>
      <c r="G118" s="49" t="s">
        <v>179</v>
      </c>
      <c r="H118" s="49" t="s">
        <v>80</v>
      </c>
      <c r="I118" s="49" t="s">
        <v>181</v>
      </c>
      <c r="J118" s="51">
        <v>362.54</v>
      </c>
      <c r="K118" s="51">
        <v>366</v>
      </c>
      <c r="L118" s="49">
        <v>2</v>
      </c>
      <c r="M118" s="51">
        <v>183</v>
      </c>
      <c r="N118" s="51">
        <v>-2</v>
      </c>
      <c r="O118" s="51">
        <v>-1.46</v>
      </c>
      <c r="P118" s="49">
        <v>100</v>
      </c>
      <c r="Q118" s="49" t="s">
        <v>82</v>
      </c>
      <c r="R118" s="49" t="s">
        <v>0</v>
      </c>
      <c r="S118" s="119">
        <v>46106</v>
      </c>
      <c r="T118" s="49">
        <v>6685</v>
      </c>
      <c r="U118" s="49" t="s">
        <v>101</v>
      </c>
      <c r="V118" s="49">
        <v>449376036</v>
      </c>
      <c r="W118" s="49" t="s">
        <v>84</v>
      </c>
    </row>
    <row r="119" spans="1:23" x14ac:dyDescent="0.2">
      <c r="A119" s="117">
        <v>46106.447696759256</v>
      </c>
      <c r="B119" s="119">
        <v>46106</v>
      </c>
      <c r="C119" s="122">
        <v>0.44769675925925928</v>
      </c>
      <c r="D119" s="49" t="s">
        <v>76</v>
      </c>
      <c r="E119" s="49" t="s">
        <v>96</v>
      </c>
      <c r="F119" s="49" t="s">
        <v>97</v>
      </c>
      <c r="G119" s="49" t="s">
        <v>177</v>
      </c>
      <c r="H119" s="49" t="s">
        <v>80</v>
      </c>
      <c r="I119" s="49" t="s">
        <v>182</v>
      </c>
      <c r="J119" s="51">
        <v>1416.54</v>
      </c>
      <c r="K119" s="51">
        <v>1420</v>
      </c>
      <c r="L119" s="49">
        <v>2</v>
      </c>
      <c r="M119" s="51">
        <v>710</v>
      </c>
      <c r="N119" s="51">
        <v>-2</v>
      </c>
      <c r="O119" s="51">
        <v>-1.46</v>
      </c>
      <c r="P119" s="49">
        <v>100</v>
      </c>
      <c r="Q119" s="49" t="s">
        <v>82</v>
      </c>
      <c r="R119" s="49" t="s">
        <v>0</v>
      </c>
      <c r="S119" s="119">
        <v>46106</v>
      </c>
      <c r="T119" s="49">
        <v>6565</v>
      </c>
      <c r="U119" s="49" t="s">
        <v>83</v>
      </c>
      <c r="V119" s="49">
        <v>449376036</v>
      </c>
      <c r="W119" s="49" t="s">
        <v>84</v>
      </c>
    </row>
    <row r="120" spans="1:23" x14ac:dyDescent="0.2">
      <c r="A120" s="117">
        <v>46106.447696759256</v>
      </c>
      <c r="B120" s="119">
        <v>46106</v>
      </c>
      <c r="C120" s="122">
        <v>0.44769675925925928</v>
      </c>
      <c r="D120" s="49" t="s">
        <v>76</v>
      </c>
      <c r="E120" s="49" t="s">
        <v>93</v>
      </c>
      <c r="F120" s="49" t="s">
        <v>94</v>
      </c>
      <c r="G120" s="49" t="s">
        <v>175</v>
      </c>
      <c r="H120" s="49" t="s">
        <v>80</v>
      </c>
      <c r="I120" s="49" t="s">
        <v>183</v>
      </c>
      <c r="J120" s="51">
        <v>-107.45</v>
      </c>
      <c r="K120" s="51">
        <v>-104</v>
      </c>
      <c r="L120" s="49">
        <v>2</v>
      </c>
      <c r="M120" s="51">
        <v>-52</v>
      </c>
      <c r="N120" s="51">
        <v>-2</v>
      </c>
      <c r="O120" s="51">
        <v>-1.45</v>
      </c>
      <c r="P120" s="49">
        <v>100</v>
      </c>
      <c r="Q120" s="49" t="s">
        <v>82</v>
      </c>
      <c r="R120" s="49" t="s">
        <v>0</v>
      </c>
      <c r="S120" s="119">
        <v>46106</v>
      </c>
      <c r="T120" s="49">
        <v>6725</v>
      </c>
      <c r="U120" s="49" t="s">
        <v>101</v>
      </c>
      <c r="V120" s="49">
        <v>449376036</v>
      </c>
      <c r="W120" s="49" t="s">
        <v>84</v>
      </c>
    </row>
    <row r="121" spans="1:23" x14ac:dyDescent="0.2">
      <c r="A121" s="117">
        <v>46106.447696759256</v>
      </c>
      <c r="B121" s="119">
        <v>46106</v>
      </c>
      <c r="C121" s="122">
        <v>0.44769675925925928</v>
      </c>
      <c r="D121" s="49" t="s">
        <v>76</v>
      </c>
      <c r="E121" s="49" t="s">
        <v>93</v>
      </c>
      <c r="F121" s="49" t="s">
        <v>94</v>
      </c>
      <c r="G121" s="49" t="s">
        <v>173</v>
      </c>
      <c r="H121" s="49" t="s">
        <v>80</v>
      </c>
      <c r="I121" s="49" t="s">
        <v>184</v>
      </c>
      <c r="J121" s="51">
        <v>-535.45000000000005</v>
      </c>
      <c r="K121" s="51">
        <v>-532</v>
      </c>
      <c r="L121" s="49">
        <v>2</v>
      </c>
      <c r="M121" s="51">
        <v>-266</v>
      </c>
      <c r="N121" s="51">
        <v>-2</v>
      </c>
      <c r="O121" s="51">
        <v>-1.45</v>
      </c>
      <c r="P121" s="49">
        <v>100</v>
      </c>
      <c r="Q121" s="49" t="s">
        <v>82</v>
      </c>
      <c r="R121" s="49" t="s">
        <v>0</v>
      </c>
      <c r="S121" s="119">
        <v>46106</v>
      </c>
      <c r="T121" s="49">
        <v>6525</v>
      </c>
      <c r="U121" s="49" t="s">
        <v>83</v>
      </c>
      <c r="V121" s="49">
        <v>449376036</v>
      </c>
      <c r="W121" s="49" t="s">
        <v>84</v>
      </c>
    </row>
    <row r="122" spans="1:23" x14ac:dyDescent="0.2">
      <c r="A122" s="117">
        <v>46105.75</v>
      </c>
      <c r="B122" s="119">
        <v>46105</v>
      </c>
      <c r="C122" s="122">
        <v>0.75</v>
      </c>
      <c r="D122" s="49" t="s">
        <v>140</v>
      </c>
      <c r="E122" s="49" t="s">
        <v>141</v>
      </c>
      <c r="F122" s="49" t="s">
        <v>142</v>
      </c>
      <c r="G122" s="49" t="s">
        <v>142</v>
      </c>
      <c r="H122" s="49" t="s">
        <v>142</v>
      </c>
      <c r="I122" s="49" t="s">
        <v>144</v>
      </c>
      <c r="J122" s="51">
        <v>20501.740000000002</v>
      </c>
      <c r="K122" s="51">
        <v>20501.740000000002</v>
      </c>
      <c r="L122" s="49">
        <v>0</v>
      </c>
      <c r="N122" s="51">
        <v>0</v>
      </c>
      <c r="O122" s="51">
        <v>0</v>
      </c>
      <c r="Q122" s="49" t="s">
        <v>142</v>
      </c>
      <c r="R122" s="49" t="s">
        <v>142</v>
      </c>
      <c r="S122" s="119"/>
      <c r="U122" s="49" t="s">
        <v>142</v>
      </c>
      <c r="W122" s="49" t="s">
        <v>84</v>
      </c>
    </row>
    <row r="126" spans="1:23" x14ac:dyDescent="0.2">
      <c r="C126"/>
    </row>
    <row r="127" spans="1:23" x14ac:dyDescent="0.2">
      <c r="C127"/>
    </row>
    <row r="128" spans="1:23" x14ac:dyDescent="0.2">
      <c r="C128"/>
    </row>
    <row r="129" spans="3:3" x14ac:dyDescent="0.2">
      <c r="C129"/>
    </row>
    <row r="130" spans="3:3" x14ac:dyDescent="0.2">
      <c r="C130"/>
    </row>
    <row r="131" spans="3:3" x14ac:dyDescent="0.2">
      <c r="C131"/>
    </row>
    <row r="132" spans="3:3" x14ac:dyDescent="0.2">
      <c r="C132"/>
    </row>
  </sheetData>
  <sortState xmlns:xlrd2="http://schemas.microsoft.com/office/spreadsheetml/2017/richdata2" ref="C126:C132">
    <sortCondition ref="C126:C132"/>
  </sortState>
  <phoneticPr fontId="1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88A9-4363-D349-8B2B-03AFD4C9E67E}">
  <dimension ref="B2:O71"/>
  <sheetViews>
    <sheetView tabSelected="1" workbookViewId="0">
      <selection activeCell="O19" sqref="O19"/>
    </sheetView>
  </sheetViews>
  <sheetFormatPr baseColWidth="10" defaultColWidth="12.83203125" defaultRowHeight="16" x14ac:dyDescent="0.2"/>
  <cols>
    <col min="1" max="1" width="3" customWidth="1"/>
    <col min="2" max="2" width="22.1640625" customWidth="1"/>
    <col min="3" max="9" width="12.83203125" style="49"/>
  </cols>
  <sheetData>
    <row r="2" spans="2:13" x14ac:dyDescent="0.2">
      <c r="B2" s="120" t="s">
        <v>58</v>
      </c>
      <c r="C2" s="49" t="s">
        <v>76</v>
      </c>
    </row>
    <row r="3" spans="2:13" x14ac:dyDescent="0.2">
      <c r="B3" s="49"/>
    </row>
    <row r="4" spans="2:13" x14ac:dyDescent="0.2">
      <c r="C4" s="123" t="s">
        <v>187</v>
      </c>
      <c r="J4" s="49"/>
      <c r="K4" s="49"/>
      <c r="L4" s="49"/>
      <c r="M4" s="49"/>
    </row>
    <row r="5" spans="2:13" x14ac:dyDescent="0.2">
      <c r="B5" s="123" t="s">
        <v>185</v>
      </c>
      <c r="C5" s="119">
        <v>46106</v>
      </c>
      <c r="D5" s="119">
        <v>46107</v>
      </c>
      <c r="E5" s="119">
        <v>46108</v>
      </c>
      <c r="F5" s="119">
        <v>46119</v>
      </c>
      <c r="G5" s="119">
        <v>46120</v>
      </c>
      <c r="H5" s="119">
        <v>46121</v>
      </c>
      <c r="I5" s="118">
        <v>46126</v>
      </c>
      <c r="J5" s="118">
        <v>46127</v>
      </c>
      <c r="K5" s="118">
        <v>46129</v>
      </c>
      <c r="L5" s="118">
        <v>46136</v>
      </c>
      <c r="M5" s="119" t="s">
        <v>186</v>
      </c>
    </row>
    <row r="6" spans="2:13" x14ac:dyDescent="0.2">
      <c r="B6" s="121" t="s">
        <v>193</v>
      </c>
      <c r="C6" s="51"/>
      <c r="D6" s="51"/>
      <c r="E6" s="51"/>
      <c r="F6" s="51"/>
      <c r="G6" s="51"/>
      <c r="H6" s="51"/>
      <c r="I6" s="51"/>
      <c r="J6" s="51"/>
      <c r="K6" s="51"/>
      <c r="L6" s="51"/>
      <c r="M6" s="51"/>
    </row>
    <row r="7" spans="2:13" x14ac:dyDescent="0.2">
      <c r="B7" s="124" t="s">
        <v>101</v>
      </c>
      <c r="C7" s="108">
        <v>260</v>
      </c>
      <c r="D7" s="108">
        <v>370</v>
      </c>
      <c r="E7" s="108">
        <v>278</v>
      </c>
      <c r="F7" s="108">
        <v>190</v>
      </c>
      <c r="G7" s="108"/>
      <c r="H7" s="108">
        <v>-750</v>
      </c>
      <c r="I7" s="108">
        <v>85</v>
      </c>
      <c r="J7" s="108">
        <v>134</v>
      </c>
      <c r="K7" s="108">
        <v>-115</v>
      </c>
      <c r="L7" s="108">
        <v>620</v>
      </c>
      <c r="M7" s="108">
        <v>1072</v>
      </c>
    </row>
    <row r="8" spans="2:13" x14ac:dyDescent="0.2">
      <c r="B8" s="125" t="s">
        <v>191</v>
      </c>
      <c r="C8" s="51">
        <v>262</v>
      </c>
      <c r="D8" s="51">
        <v>370</v>
      </c>
      <c r="E8" s="51">
        <v>310</v>
      </c>
      <c r="F8" s="51">
        <v>520</v>
      </c>
      <c r="G8" s="51"/>
      <c r="H8" s="51">
        <v>880</v>
      </c>
      <c r="I8" s="51">
        <v>120</v>
      </c>
      <c r="J8" s="51">
        <v>244</v>
      </c>
      <c r="K8" s="51">
        <v>-635</v>
      </c>
      <c r="L8" s="51">
        <v>-350</v>
      </c>
      <c r="M8" s="51">
        <v>1721</v>
      </c>
    </row>
    <row r="9" spans="2:13" x14ac:dyDescent="0.2">
      <c r="B9" s="125" t="s">
        <v>192</v>
      </c>
      <c r="C9" s="51">
        <v>-2</v>
      </c>
      <c r="D9" s="51"/>
      <c r="E9" s="51">
        <v>-32</v>
      </c>
      <c r="F9" s="51">
        <v>-330</v>
      </c>
      <c r="G9" s="51"/>
      <c r="H9" s="51">
        <v>-1630</v>
      </c>
      <c r="I9" s="51">
        <v>-35</v>
      </c>
      <c r="J9" s="51">
        <v>-110</v>
      </c>
      <c r="K9" s="51">
        <v>520</v>
      </c>
      <c r="L9" s="51">
        <v>970</v>
      </c>
      <c r="M9" s="51">
        <v>-649</v>
      </c>
    </row>
    <row r="10" spans="2:13" x14ac:dyDescent="0.2">
      <c r="B10" s="124" t="s">
        <v>83</v>
      </c>
      <c r="C10" s="108">
        <v>780</v>
      </c>
      <c r="D10" s="108">
        <v>-1880</v>
      </c>
      <c r="E10" s="108">
        <v>-238</v>
      </c>
      <c r="F10" s="108">
        <v>520</v>
      </c>
      <c r="G10" s="108">
        <v>0</v>
      </c>
      <c r="H10" s="108">
        <v>580</v>
      </c>
      <c r="I10" s="108"/>
      <c r="J10" s="108">
        <v>-184</v>
      </c>
      <c r="K10" s="108"/>
      <c r="L10" s="108"/>
      <c r="M10" s="108">
        <v>-422</v>
      </c>
    </row>
    <row r="11" spans="2:13" x14ac:dyDescent="0.2">
      <c r="B11" s="125" t="s">
        <v>191</v>
      </c>
      <c r="C11" s="51">
        <v>888</v>
      </c>
      <c r="D11" s="51">
        <v>530</v>
      </c>
      <c r="E11" s="51">
        <v>410</v>
      </c>
      <c r="F11" s="51">
        <v>540</v>
      </c>
      <c r="G11" s="51">
        <v>580</v>
      </c>
      <c r="H11" s="51">
        <v>740</v>
      </c>
      <c r="I11" s="51"/>
      <c r="J11" s="51">
        <v>306</v>
      </c>
      <c r="K11" s="51"/>
      <c r="L11" s="51"/>
      <c r="M11" s="51">
        <v>3994</v>
      </c>
    </row>
    <row r="12" spans="2:13" x14ac:dyDescent="0.2">
      <c r="B12" s="125" t="s">
        <v>192</v>
      </c>
      <c r="C12" s="51">
        <v>-108</v>
      </c>
      <c r="D12" s="51">
        <v>-2410</v>
      </c>
      <c r="E12" s="51">
        <v>-648</v>
      </c>
      <c r="F12" s="51">
        <v>-20</v>
      </c>
      <c r="G12" s="51">
        <v>-580</v>
      </c>
      <c r="H12" s="51">
        <v>-160</v>
      </c>
      <c r="I12" s="51"/>
      <c r="J12" s="51">
        <v>-490</v>
      </c>
      <c r="K12" s="51"/>
      <c r="L12" s="51"/>
      <c r="M12" s="51">
        <v>-4416</v>
      </c>
    </row>
    <row r="13" spans="2:13" x14ac:dyDescent="0.2">
      <c r="B13" s="121" t="s">
        <v>195</v>
      </c>
      <c r="C13" s="51"/>
      <c r="D13" s="51"/>
      <c r="E13" s="51"/>
      <c r="F13" s="51"/>
      <c r="G13" s="51"/>
      <c r="H13" s="51"/>
      <c r="I13" s="51"/>
      <c r="J13" s="51"/>
      <c r="K13" s="51"/>
      <c r="L13" s="51"/>
      <c r="M13" s="51"/>
    </row>
    <row r="14" spans="2:13" x14ac:dyDescent="0.2">
      <c r="B14" s="124" t="s">
        <v>101</v>
      </c>
      <c r="C14" s="108">
        <v>-9.82</v>
      </c>
      <c r="D14" s="108">
        <v>-6.88</v>
      </c>
      <c r="E14" s="108">
        <v>-9.82</v>
      </c>
      <c r="F14" s="108">
        <v>-9.82</v>
      </c>
      <c r="G14" s="108">
        <v>0</v>
      </c>
      <c r="H14" s="108">
        <v>-29.340000000000003</v>
      </c>
      <c r="I14" s="108">
        <v>-14.639999999999999</v>
      </c>
      <c r="J14" s="108">
        <v>-9.7899999999999991</v>
      </c>
      <c r="K14" s="108">
        <v>-14.67</v>
      </c>
      <c r="L14" s="108">
        <v>-9.7899999999999991</v>
      </c>
      <c r="M14" s="108">
        <v>-114.56999999999998</v>
      </c>
    </row>
    <row r="15" spans="2:13" x14ac:dyDescent="0.2">
      <c r="B15" s="125" t="s">
        <v>191</v>
      </c>
      <c r="C15" s="51">
        <v>-6.91</v>
      </c>
      <c r="D15" s="51">
        <v>-6.88</v>
      </c>
      <c r="E15" s="51">
        <v>-6.91</v>
      </c>
      <c r="F15" s="51">
        <v>-6.91</v>
      </c>
      <c r="G15" s="51">
        <v>0</v>
      </c>
      <c r="H15" s="51">
        <v>-20.7</v>
      </c>
      <c r="I15" s="51">
        <v>-10.32</v>
      </c>
      <c r="J15" s="51">
        <v>-6.91</v>
      </c>
      <c r="K15" s="51">
        <v>-10.32</v>
      </c>
      <c r="L15" s="51">
        <v>-6.91</v>
      </c>
      <c r="M15" s="51">
        <v>-82.769999999999982</v>
      </c>
    </row>
    <row r="16" spans="2:13" x14ac:dyDescent="0.2">
      <c r="B16" s="125" t="s">
        <v>192</v>
      </c>
      <c r="C16" s="51">
        <v>-2.91</v>
      </c>
      <c r="D16" s="51">
        <v>0</v>
      </c>
      <c r="E16" s="51">
        <v>-2.91</v>
      </c>
      <c r="F16" s="51">
        <v>-2.91</v>
      </c>
      <c r="G16" s="51">
        <v>0</v>
      </c>
      <c r="H16" s="51">
        <v>-8.6399999999999988</v>
      </c>
      <c r="I16" s="51">
        <v>-4.3199999999999994</v>
      </c>
      <c r="J16" s="51">
        <v>-2.88</v>
      </c>
      <c r="K16" s="51">
        <v>-4.3499999999999996</v>
      </c>
      <c r="L16" s="51">
        <v>-2.88</v>
      </c>
      <c r="M16" s="51">
        <v>-31.799999999999986</v>
      </c>
    </row>
    <row r="17" spans="2:13" x14ac:dyDescent="0.2">
      <c r="B17" s="124" t="s">
        <v>83</v>
      </c>
      <c r="C17" s="108">
        <v>-9.82</v>
      </c>
      <c r="D17" s="108">
        <v>-9.7899999999999991</v>
      </c>
      <c r="E17" s="108">
        <v>-9.7899999999999991</v>
      </c>
      <c r="F17" s="108">
        <v>-9.82</v>
      </c>
      <c r="G17" s="108">
        <v>-9.7899999999999991</v>
      </c>
      <c r="H17" s="108">
        <v>-19.610000000000003</v>
      </c>
      <c r="I17" s="108">
        <v>0</v>
      </c>
      <c r="J17" s="108">
        <v>-9.7899999999999991</v>
      </c>
      <c r="K17" s="108">
        <v>0</v>
      </c>
      <c r="L17" s="108">
        <v>0</v>
      </c>
      <c r="M17" s="108">
        <v>-78.41</v>
      </c>
    </row>
    <row r="18" spans="2:13" x14ac:dyDescent="0.2">
      <c r="B18" s="125" t="s">
        <v>191</v>
      </c>
      <c r="C18" s="51">
        <v>-6.91</v>
      </c>
      <c r="D18" s="51">
        <v>-6.88</v>
      </c>
      <c r="E18" s="51">
        <v>-6.88</v>
      </c>
      <c r="F18" s="51">
        <v>-6.91</v>
      </c>
      <c r="G18" s="51">
        <v>-6.88</v>
      </c>
      <c r="H18" s="51">
        <v>-13.82</v>
      </c>
      <c r="I18" s="51">
        <v>0</v>
      </c>
      <c r="J18" s="51">
        <v>-6.91</v>
      </c>
      <c r="K18" s="51">
        <v>0</v>
      </c>
      <c r="L18" s="51">
        <v>0</v>
      </c>
      <c r="M18" s="51">
        <v>-55.19</v>
      </c>
    </row>
    <row r="19" spans="2:13" x14ac:dyDescent="0.2">
      <c r="B19" s="125" t="s">
        <v>192</v>
      </c>
      <c r="C19" s="51">
        <v>-2.91</v>
      </c>
      <c r="D19" s="51">
        <v>-2.91</v>
      </c>
      <c r="E19" s="51">
        <v>-2.91</v>
      </c>
      <c r="F19" s="51">
        <v>-2.91</v>
      </c>
      <c r="G19" s="51">
        <v>-2.91</v>
      </c>
      <c r="H19" s="51">
        <v>-5.7899999999999991</v>
      </c>
      <c r="I19" s="51">
        <v>0</v>
      </c>
      <c r="J19" s="51">
        <v>-2.88</v>
      </c>
      <c r="K19" s="51">
        <v>0</v>
      </c>
      <c r="L19" s="51">
        <v>0</v>
      </c>
      <c r="M19" s="51">
        <v>-23.219999999999992</v>
      </c>
    </row>
    <row r="20" spans="2:13" x14ac:dyDescent="0.2">
      <c r="B20" s="121" t="s">
        <v>258</v>
      </c>
      <c r="C20" s="51"/>
      <c r="D20" s="51"/>
      <c r="E20" s="51"/>
      <c r="F20" s="51"/>
      <c r="G20" s="51"/>
      <c r="H20" s="51"/>
      <c r="I20" s="51"/>
      <c r="J20" s="51"/>
      <c r="K20" s="51"/>
      <c r="L20" s="51"/>
      <c r="M20" s="51"/>
    </row>
    <row r="21" spans="2:13" x14ac:dyDescent="0.2">
      <c r="B21" s="124" t="s">
        <v>101</v>
      </c>
      <c r="C21" s="108">
        <v>250.18000000000004</v>
      </c>
      <c r="D21" s="108">
        <v>363.11999999999989</v>
      </c>
      <c r="E21" s="108">
        <v>268.17999999999995</v>
      </c>
      <c r="F21" s="108">
        <v>180.17999999999995</v>
      </c>
      <c r="G21" s="108"/>
      <c r="H21" s="108">
        <v>-779.34000000000026</v>
      </c>
      <c r="I21" s="108">
        <v>70.359999999999673</v>
      </c>
      <c r="J21" s="108">
        <v>124.21000000000004</v>
      </c>
      <c r="K21" s="108">
        <v>-129.67000000000053</v>
      </c>
      <c r="L21" s="108">
        <v>610.21000000000072</v>
      </c>
      <c r="M21" s="108">
        <v>957.42999999999961</v>
      </c>
    </row>
    <row r="22" spans="2:13" x14ac:dyDescent="0.2">
      <c r="B22" s="125" t="s">
        <v>191</v>
      </c>
      <c r="C22" s="51">
        <v>255.09000000000003</v>
      </c>
      <c r="D22" s="51">
        <v>363.11999999999989</v>
      </c>
      <c r="E22" s="51">
        <v>303.08999999999997</v>
      </c>
      <c r="F22" s="51">
        <v>513.08999999999992</v>
      </c>
      <c r="G22" s="51"/>
      <c r="H22" s="51">
        <v>859.30000000000007</v>
      </c>
      <c r="I22" s="51">
        <v>109.67999999999984</v>
      </c>
      <c r="J22" s="51">
        <v>237.09000000000003</v>
      </c>
      <c r="K22" s="51">
        <v>-645.32000000000016</v>
      </c>
      <c r="L22" s="51">
        <v>-356.91000000000008</v>
      </c>
      <c r="M22" s="51">
        <v>1638.2299999999998</v>
      </c>
    </row>
    <row r="23" spans="2:13" x14ac:dyDescent="0.2">
      <c r="B23" s="125" t="s">
        <v>192</v>
      </c>
      <c r="C23" s="51">
        <v>-4.9099999999999993</v>
      </c>
      <c r="D23" s="51"/>
      <c r="E23" s="51">
        <v>-34.910000000000004</v>
      </c>
      <c r="F23" s="51">
        <v>-332.90999999999997</v>
      </c>
      <c r="G23" s="51"/>
      <c r="H23" s="51">
        <v>-1638.6400000000003</v>
      </c>
      <c r="I23" s="51">
        <v>-39.320000000000164</v>
      </c>
      <c r="J23" s="51">
        <v>-112.88</v>
      </c>
      <c r="K23" s="51">
        <v>515.64999999999964</v>
      </c>
      <c r="L23" s="51">
        <v>967.1200000000008</v>
      </c>
      <c r="M23" s="51">
        <v>-680.80000000000018</v>
      </c>
    </row>
    <row r="24" spans="2:13" x14ac:dyDescent="0.2">
      <c r="B24" s="124" t="s">
        <v>83</v>
      </c>
      <c r="C24" s="108">
        <v>770.18</v>
      </c>
      <c r="D24" s="108">
        <v>-1889.79</v>
      </c>
      <c r="E24" s="108">
        <v>-247.79000000000019</v>
      </c>
      <c r="F24" s="108">
        <v>510.17999999999989</v>
      </c>
      <c r="G24" s="108">
        <v>-9.790000000000191</v>
      </c>
      <c r="H24" s="108">
        <v>560.3900000000001</v>
      </c>
      <c r="I24" s="108"/>
      <c r="J24" s="108">
        <v>-193.79000000000002</v>
      </c>
      <c r="K24" s="108"/>
      <c r="L24" s="108"/>
      <c r="M24" s="108">
        <v>-500.40999999999985</v>
      </c>
    </row>
    <row r="25" spans="2:13" x14ac:dyDescent="0.2">
      <c r="B25" s="125" t="s">
        <v>191</v>
      </c>
      <c r="C25" s="51">
        <v>881.08999999999992</v>
      </c>
      <c r="D25" s="51">
        <v>523.11999999999989</v>
      </c>
      <c r="E25" s="51">
        <v>403.11999999999989</v>
      </c>
      <c r="F25" s="51">
        <v>533.08999999999992</v>
      </c>
      <c r="G25" s="51">
        <v>573.11999999999989</v>
      </c>
      <c r="H25" s="51">
        <v>726.18000000000006</v>
      </c>
      <c r="I25" s="51"/>
      <c r="J25" s="51">
        <v>299.09000000000003</v>
      </c>
      <c r="K25" s="51"/>
      <c r="L25" s="51"/>
      <c r="M25" s="51">
        <v>3938.8099999999995</v>
      </c>
    </row>
    <row r="26" spans="2:13" x14ac:dyDescent="0.2">
      <c r="B26" s="125" t="s">
        <v>192</v>
      </c>
      <c r="C26" s="51">
        <v>-110.91</v>
      </c>
      <c r="D26" s="51">
        <v>-2412.91</v>
      </c>
      <c r="E26" s="51">
        <v>-650.91000000000008</v>
      </c>
      <c r="F26" s="51">
        <v>-22.910000000000004</v>
      </c>
      <c r="G26" s="51">
        <v>-582.91000000000008</v>
      </c>
      <c r="H26" s="51">
        <v>-165.78999999999996</v>
      </c>
      <c r="I26" s="51"/>
      <c r="J26" s="51">
        <v>-492.88000000000005</v>
      </c>
      <c r="K26" s="51"/>
      <c r="L26" s="51"/>
      <c r="M26" s="51">
        <v>-4439.2199999999993</v>
      </c>
    </row>
    <row r="27" spans="2:13" x14ac:dyDescent="0.2">
      <c r="B27" s="121" t="s">
        <v>256</v>
      </c>
      <c r="C27" s="51"/>
      <c r="D27" s="51"/>
      <c r="E27" s="51"/>
      <c r="F27" s="51"/>
      <c r="G27" s="51"/>
      <c r="H27" s="51"/>
      <c r="I27" s="51"/>
      <c r="J27" s="51"/>
      <c r="K27" s="51"/>
      <c r="L27" s="51"/>
      <c r="M27" s="51"/>
    </row>
    <row r="28" spans="2:13" x14ac:dyDescent="0.2">
      <c r="B28" s="124" t="s">
        <v>101</v>
      </c>
      <c r="C28" s="108">
        <v>-37.527000000000001</v>
      </c>
      <c r="D28" s="108">
        <v>-54.467999999999982</v>
      </c>
      <c r="E28" s="108">
        <v>-40.226999999999997</v>
      </c>
      <c r="F28" s="108">
        <v>-27.026999999999983</v>
      </c>
      <c r="G28" s="108">
        <v>0</v>
      </c>
      <c r="H28" s="108">
        <v>0</v>
      </c>
      <c r="I28" s="108">
        <v>-10.553999999999951</v>
      </c>
      <c r="J28" s="108">
        <v>-18.631500000000006</v>
      </c>
      <c r="K28" s="108">
        <v>0</v>
      </c>
      <c r="L28" s="108">
        <v>-91.531500000000065</v>
      </c>
      <c r="M28" s="108">
        <v>-143.61449999999974</v>
      </c>
    </row>
    <row r="29" spans="2:13" x14ac:dyDescent="0.2">
      <c r="B29" s="125" t="s">
        <v>191</v>
      </c>
      <c r="C29" s="51">
        <v>-38.263500000000001</v>
      </c>
      <c r="D29" s="51">
        <v>-54.467999999999982</v>
      </c>
      <c r="E29" s="51">
        <v>-45.463499999999996</v>
      </c>
      <c r="F29" s="51">
        <v>-76.963499999999982</v>
      </c>
      <c r="G29" s="51">
        <v>0</v>
      </c>
      <c r="H29" s="51">
        <v>-128.89500000000001</v>
      </c>
      <c r="I29" s="51">
        <v>-16.451999999999973</v>
      </c>
      <c r="J29" s="51">
        <v>-35.563500000000005</v>
      </c>
      <c r="K29" s="51">
        <v>0</v>
      </c>
      <c r="L29" s="51">
        <v>0</v>
      </c>
      <c r="M29" s="51">
        <v>-245.73449999999974</v>
      </c>
    </row>
    <row r="30" spans="2:13" x14ac:dyDescent="0.2">
      <c r="B30" s="125" t="s">
        <v>192</v>
      </c>
      <c r="C30" s="51">
        <v>0</v>
      </c>
      <c r="D30" s="51">
        <v>0</v>
      </c>
      <c r="E30" s="51">
        <v>0</v>
      </c>
      <c r="F30" s="51">
        <v>0</v>
      </c>
      <c r="G30" s="51">
        <v>0</v>
      </c>
      <c r="H30" s="51">
        <v>0</v>
      </c>
      <c r="I30" s="51">
        <v>0</v>
      </c>
      <c r="J30" s="51">
        <v>0</v>
      </c>
      <c r="K30" s="51">
        <v>-77.34749999999994</v>
      </c>
      <c r="L30" s="51">
        <v>-145.06800000000013</v>
      </c>
      <c r="M30" s="51">
        <v>0</v>
      </c>
    </row>
    <row r="31" spans="2:13" x14ac:dyDescent="0.2">
      <c r="B31" s="124" t="s">
        <v>83</v>
      </c>
      <c r="C31" s="108">
        <v>-115.52699999999997</v>
      </c>
      <c r="D31" s="108">
        <v>0</v>
      </c>
      <c r="E31" s="108">
        <v>0</v>
      </c>
      <c r="F31" s="108">
        <v>-76.526999999999987</v>
      </c>
      <c r="G31" s="108">
        <v>0</v>
      </c>
      <c r="H31" s="108">
        <v>-84.058499999999981</v>
      </c>
      <c r="I31" s="108">
        <v>0</v>
      </c>
      <c r="J31" s="108">
        <v>0</v>
      </c>
      <c r="K31" s="108">
        <v>0</v>
      </c>
      <c r="L31" s="108">
        <v>0</v>
      </c>
      <c r="M31" s="108">
        <v>0</v>
      </c>
    </row>
    <row r="32" spans="2:13" x14ac:dyDescent="0.2">
      <c r="B32" s="125" t="s">
        <v>191</v>
      </c>
      <c r="C32" s="51">
        <v>-132.16349999999997</v>
      </c>
      <c r="D32" s="51">
        <v>-78.467999999999975</v>
      </c>
      <c r="E32" s="51">
        <v>-60.467999999999982</v>
      </c>
      <c r="F32" s="51">
        <v>-79.963499999999982</v>
      </c>
      <c r="G32" s="51">
        <v>-85.967999999999975</v>
      </c>
      <c r="H32" s="51">
        <v>-108.92700000000001</v>
      </c>
      <c r="I32" s="51">
        <v>0</v>
      </c>
      <c r="J32" s="51">
        <v>-44.863500000000002</v>
      </c>
      <c r="K32" s="51">
        <v>0</v>
      </c>
      <c r="L32" s="51">
        <v>0</v>
      </c>
      <c r="M32" s="51">
        <v>-590.8214999999999</v>
      </c>
    </row>
    <row r="33" spans="2:15" x14ac:dyDescent="0.2">
      <c r="B33" s="125" t="s">
        <v>192</v>
      </c>
      <c r="C33" s="51">
        <v>0</v>
      </c>
      <c r="D33" s="51">
        <v>0</v>
      </c>
      <c r="E33" s="51">
        <v>0</v>
      </c>
      <c r="F33" s="51">
        <v>0</v>
      </c>
      <c r="G33" s="51">
        <v>0</v>
      </c>
      <c r="H33" s="51">
        <v>0</v>
      </c>
      <c r="I33" s="51">
        <v>0</v>
      </c>
      <c r="J33" s="51">
        <v>0</v>
      </c>
      <c r="K33" s="51">
        <v>0</v>
      </c>
      <c r="L33" s="51">
        <v>0</v>
      </c>
      <c r="M33" s="51">
        <v>0</v>
      </c>
    </row>
    <row r="34" spans="2:15" x14ac:dyDescent="0.2">
      <c r="B34" s="121" t="s">
        <v>260</v>
      </c>
      <c r="C34" s="51"/>
      <c r="D34" s="51"/>
      <c r="E34" s="51"/>
      <c r="F34" s="51"/>
      <c r="G34" s="51"/>
      <c r="H34" s="51"/>
      <c r="I34" s="51"/>
      <c r="J34" s="51"/>
      <c r="K34" s="51"/>
      <c r="L34" s="51"/>
      <c r="M34" s="51"/>
    </row>
    <row r="35" spans="2:15" x14ac:dyDescent="0.2">
      <c r="B35" s="124" t="s">
        <v>101</v>
      </c>
      <c r="C35" s="108">
        <v>212.65300000000002</v>
      </c>
      <c r="D35" s="108">
        <v>308.65200000000004</v>
      </c>
      <c r="E35" s="108">
        <v>227.953</v>
      </c>
      <c r="F35" s="108">
        <v>153.15300000000002</v>
      </c>
      <c r="G35" s="108">
        <v>0</v>
      </c>
      <c r="H35" s="108">
        <v>-779.34</v>
      </c>
      <c r="I35" s="108">
        <v>59.806000000000047</v>
      </c>
      <c r="J35" s="108">
        <v>105.57850000000001</v>
      </c>
      <c r="K35" s="108">
        <v>-129.66999999999999</v>
      </c>
      <c r="L35" s="108">
        <v>518.67849999999999</v>
      </c>
      <c r="M35" s="108">
        <v>813.81550000000038</v>
      </c>
    </row>
    <row r="36" spans="2:15" x14ac:dyDescent="0.2">
      <c r="B36" s="125" t="s">
        <v>191</v>
      </c>
      <c r="C36" s="51">
        <v>216.82650000000001</v>
      </c>
      <c r="D36" s="51">
        <v>308.65200000000004</v>
      </c>
      <c r="E36" s="51">
        <v>257.62649999999996</v>
      </c>
      <c r="F36" s="51">
        <v>436.12650000000008</v>
      </c>
      <c r="G36" s="51">
        <v>0</v>
      </c>
      <c r="H36" s="51">
        <v>730.40499999999997</v>
      </c>
      <c r="I36" s="51">
        <v>93.228000000000037</v>
      </c>
      <c r="J36" s="51">
        <v>201.5265</v>
      </c>
      <c r="K36" s="51">
        <v>-645.32000000000005</v>
      </c>
      <c r="L36" s="51">
        <v>-356.91</v>
      </c>
      <c r="M36" s="51">
        <v>1392.4955000000002</v>
      </c>
    </row>
    <row r="37" spans="2:15" x14ac:dyDescent="0.2">
      <c r="B37" s="125" t="s">
        <v>192</v>
      </c>
      <c r="C37" s="51">
        <v>-4.91</v>
      </c>
      <c r="D37" s="51">
        <v>0</v>
      </c>
      <c r="E37" s="51">
        <v>-34.909999999999997</v>
      </c>
      <c r="F37" s="51">
        <v>-332.91</v>
      </c>
      <c r="G37" s="51">
        <v>0</v>
      </c>
      <c r="H37" s="51">
        <v>-1638.64</v>
      </c>
      <c r="I37" s="51">
        <v>-39.32</v>
      </c>
      <c r="J37" s="51">
        <v>-112.88</v>
      </c>
      <c r="K37" s="51">
        <v>438.30250000000001</v>
      </c>
      <c r="L37" s="51">
        <v>822.05199999999991</v>
      </c>
      <c r="M37" s="51">
        <v>-680.8</v>
      </c>
    </row>
    <row r="38" spans="2:15" x14ac:dyDescent="0.2">
      <c r="B38" s="124" t="s">
        <v>83</v>
      </c>
      <c r="C38" s="108">
        <v>654.65300000000002</v>
      </c>
      <c r="D38" s="108">
        <v>-1889.79</v>
      </c>
      <c r="E38" s="108">
        <v>-247.79</v>
      </c>
      <c r="F38" s="108">
        <v>433.65300000000002</v>
      </c>
      <c r="G38" s="108">
        <v>-9.7899999999999991</v>
      </c>
      <c r="H38" s="108">
        <v>476.33150000000001</v>
      </c>
      <c r="I38" s="108">
        <v>0</v>
      </c>
      <c r="J38" s="108">
        <v>-193.79</v>
      </c>
      <c r="K38" s="108">
        <v>0</v>
      </c>
      <c r="L38" s="108">
        <v>0</v>
      </c>
      <c r="M38" s="108">
        <v>-500.40999999999997</v>
      </c>
    </row>
    <row r="39" spans="2:15" x14ac:dyDescent="0.2">
      <c r="B39" s="125" t="s">
        <v>191</v>
      </c>
      <c r="C39" s="51">
        <v>748.92650000000003</v>
      </c>
      <c r="D39" s="51">
        <v>444.65200000000004</v>
      </c>
      <c r="E39" s="51">
        <v>342.65200000000004</v>
      </c>
      <c r="F39" s="51">
        <v>453.12650000000008</v>
      </c>
      <c r="G39" s="51">
        <v>487.15200000000004</v>
      </c>
      <c r="H39" s="51">
        <v>617.25299999999993</v>
      </c>
      <c r="I39" s="51">
        <v>0</v>
      </c>
      <c r="J39" s="51">
        <v>254.22649999999999</v>
      </c>
      <c r="K39" s="51">
        <v>0</v>
      </c>
      <c r="L39" s="51">
        <v>0</v>
      </c>
      <c r="M39" s="51">
        <v>3347.9884999999999</v>
      </c>
    </row>
    <row r="40" spans="2:15" x14ac:dyDescent="0.2">
      <c r="B40" s="125" t="s">
        <v>192</v>
      </c>
      <c r="C40" s="51">
        <v>-110.91</v>
      </c>
      <c r="D40" s="51">
        <v>-2412.91</v>
      </c>
      <c r="E40" s="51">
        <v>-650.91</v>
      </c>
      <c r="F40" s="51">
        <v>-22.91</v>
      </c>
      <c r="G40" s="51">
        <v>-582.91</v>
      </c>
      <c r="H40" s="51">
        <v>-165.79</v>
      </c>
      <c r="I40" s="51">
        <v>0</v>
      </c>
      <c r="J40" s="51">
        <v>-492.88</v>
      </c>
      <c r="K40" s="51">
        <v>0</v>
      </c>
      <c r="L40" s="51">
        <v>0</v>
      </c>
      <c r="M40" s="51">
        <v>-4439.22</v>
      </c>
    </row>
    <row r="41" spans="2:15" x14ac:dyDescent="0.2">
      <c r="B41" s="121" t="s">
        <v>194</v>
      </c>
      <c r="C41" s="51">
        <v>1040</v>
      </c>
      <c r="D41" s="51">
        <v>-1510</v>
      </c>
      <c r="E41" s="51">
        <v>40</v>
      </c>
      <c r="F41" s="51">
        <v>710</v>
      </c>
      <c r="G41" s="51">
        <v>0</v>
      </c>
      <c r="H41" s="51">
        <v>-170</v>
      </c>
      <c r="I41" s="51">
        <v>85</v>
      </c>
      <c r="J41" s="51">
        <v>-50</v>
      </c>
      <c r="K41" s="51">
        <v>-115</v>
      </c>
      <c r="L41" s="51">
        <v>620</v>
      </c>
      <c r="M41" s="51">
        <v>650</v>
      </c>
    </row>
    <row r="42" spans="2:15" x14ac:dyDescent="0.2">
      <c r="B42" s="121" t="s">
        <v>196</v>
      </c>
      <c r="C42" s="51">
        <v>-19.64</v>
      </c>
      <c r="D42" s="51">
        <v>-16.669999999999998</v>
      </c>
      <c r="E42" s="51">
        <v>-19.61</v>
      </c>
      <c r="F42" s="51">
        <v>-19.64</v>
      </c>
      <c r="G42" s="51">
        <v>-9.7899999999999991</v>
      </c>
      <c r="H42" s="51">
        <v>-48.95</v>
      </c>
      <c r="I42" s="51">
        <v>-14.639999999999999</v>
      </c>
      <c r="J42" s="51">
        <v>-19.580000000000002</v>
      </c>
      <c r="K42" s="51">
        <v>-14.67</v>
      </c>
      <c r="L42" s="51">
        <v>-9.7899999999999991</v>
      </c>
      <c r="M42" s="51">
        <v>-192.97999999999996</v>
      </c>
      <c r="O42" s="158"/>
    </row>
    <row r="43" spans="2:15" x14ac:dyDescent="0.2">
      <c r="B43" s="121" t="s">
        <v>259</v>
      </c>
      <c r="C43" s="51">
        <v>1020.36</v>
      </c>
      <c r="D43" s="51">
        <v>-1526.67</v>
      </c>
      <c r="E43" s="51">
        <v>20.389999999999759</v>
      </c>
      <c r="F43" s="51">
        <v>690.3599999999999</v>
      </c>
      <c r="G43" s="51">
        <v>-9.790000000000191</v>
      </c>
      <c r="H43" s="51">
        <v>-218.95000000000016</v>
      </c>
      <c r="I43" s="51">
        <v>70.359999999999673</v>
      </c>
      <c r="J43" s="51">
        <v>-69.579999999999984</v>
      </c>
      <c r="K43" s="51">
        <v>-129.67000000000053</v>
      </c>
      <c r="L43" s="51">
        <v>610.21000000000072</v>
      </c>
      <c r="M43" s="51">
        <v>457.01999999999953</v>
      </c>
    </row>
    <row r="44" spans="2:15" x14ac:dyDescent="0.2">
      <c r="B44" s="121" t="s">
        <v>257</v>
      </c>
      <c r="C44" s="51">
        <v>-153.05399999999997</v>
      </c>
      <c r="D44" s="51">
        <v>0</v>
      </c>
      <c r="E44" s="51">
        <v>-3.0584999999999809</v>
      </c>
      <c r="F44" s="51">
        <v>-103.55399999999996</v>
      </c>
      <c r="G44" s="51">
        <v>0</v>
      </c>
      <c r="H44" s="51">
        <v>0</v>
      </c>
      <c r="I44" s="51">
        <v>-10.553999999999951</v>
      </c>
      <c r="J44" s="51">
        <v>0</v>
      </c>
      <c r="K44" s="51">
        <v>0</v>
      </c>
      <c r="L44" s="51">
        <v>-91.531500000000065</v>
      </c>
      <c r="M44" s="51">
        <v>-68.553000000000068</v>
      </c>
    </row>
    <row r="45" spans="2:15" x14ac:dyDescent="0.2">
      <c r="B45" s="121" t="s">
        <v>261</v>
      </c>
      <c r="C45" s="51">
        <v>867.30600000000004</v>
      </c>
      <c r="D45" s="51">
        <v>-1526.67</v>
      </c>
      <c r="E45" s="51">
        <v>17.33150000000002</v>
      </c>
      <c r="F45" s="51">
        <v>586.80600000000004</v>
      </c>
      <c r="G45" s="51">
        <v>-9.7899999999999991</v>
      </c>
      <c r="H45" s="51">
        <v>-218.95</v>
      </c>
      <c r="I45" s="51">
        <v>59.806000000000047</v>
      </c>
      <c r="J45" s="51">
        <v>-69.58</v>
      </c>
      <c r="K45" s="51">
        <v>-129.66999999999999</v>
      </c>
      <c r="L45" s="51">
        <v>518.67849999999999</v>
      </c>
      <c r="M45" s="51">
        <v>388.46699999999998</v>
      </c>
    </row>
    <row r="46" spans="2:15" x14ac:dyDescent="0.2">
      <c r="C46"/>
      <c r="D46"/>
      <c r="E46"/>
      <c r="F46"/>
      <c r="G46"/>
      <c r="H46"/>
      <c r="I46"/>
    </row>
    <row r="47" spans="2:15" x14ac:dyDescent="0.2">
      <c r="C47"/>
      <c r="D47"/>
      <c r="E47"/>
      <c r="F47"/>
      <c r="G47"/>
      <c r="H47"/>
      <c r="I47"/>
      <c r="M47" s="59"/>
    </row>
    <row r="51" spans="2:12" x14ac:dyDescent="0.2">
      <c r="B51" s="120" t="s">
        <v>190</v>
      </c>
      <c r="C51" s="120" t="s">
        <v>187</v>
      </c>
      <c r="G51"/>
      <c r="H51"/>
      <c r="I51"/>
    </row>
    <row r="52" spans="2:12" x14ac:dyDescent="0.2">
      <c r="B52" s="123" t="s">
        <v>185</v>
      </c>
      <c r="C52" s="49" t="s">
        <v>140</v>
      </c>
      <c r="D52" s="49" t="s">
        <v>159</v>
      </c>
      <c r="E52" s="49" t="s">
        <v>76</v>
      </c>
      <c r="F52" s="49" t="s">
        <v>56</v>
      </c>
      <c r="G52"/>
      <c r="H52"/>
      <c r="I52"/>
    </row>
    <row r="53" spans="2:12" x14ac:dyDescent="0.2">
      <c r="B53" s="139">
        <v>46105</v>
      </c>
      <c r="C53" s="51">
        <v>20501.740000000002</v>
      </c>
      <c r="D53" s="51"/>
      <c r="E53" s="51"/>
      <c r="F53" s="51">
        <v>20501.740000000002</v>
      </c>
      <c r="G53"/>
      <c r="H53"/>
      <c r="I53"/>
    </row>
    <row r="54" spans="2:12" x14ac:dyDescent="0.2">
      <c r="B54" s="139">
        <v>46106</v>
      </c>
      <c r="C54" s="51"/>
      <c r="D54" s="51"/>
      <c r="E54" s="51">
        <v>1020.3599999999999</v>
      </c>
      <c r="F54" s="51">
        <v>1020.3599999999999</v>
      </c>
      <c r="G54"/>
      <c r="H54"/>
      <c r="I54"/>
    </row>
    <row r="55" spans="2:12" x14ac:dyDescent="0.2">
      <c r="B55" s="139">
        <v>46107</v>
      </c>
      <c r="C55" s="51"/>
      <c r="D55" s="51">
        <v>0</v>
      </c>
      <c r="E55" s="51">
        <v>-1526.67</v>
      </c>
      <c r="F55" s="51">
        <v>-1526.67</v>
      </c>
      <c r="G55"/>
      <c r="H55"/>
      <c r="I55"/>
    </row>
    <row r="56" spans="2:12" x14ac:dyDescent="0.2">
      <c r="B56" s="139">
        <v>46108</v>
      </c>
      <c r="C56" s="51"/>
      <c r="D56" s="51"/>
      <c r="E56" s="51">
        <v>20.389999999999702</v>
      </c>
      <c r="F56" s="51">
        <v>20.389999999999702</v>
      </c>
      <c r="G56"/>
      <c r="H56"/>
      <c r="I56"/>
    </row>
    <row r="57" spans="2:12" x14ac:dyDescent="0.2">
      <c r="B57" s="139">
        <v>46109</v>
      </c>
      <c r="C57" s="51">
        <v>7.0000000000000007E-2</v>
      </c>
      <c r="D57" s="51"/>
      <c r="E57" s="51"/>
      <c r="F57" s="51">
        <v>7.0000000000000007E-2</v>
      </c>
      <c r="G57"/>
      <c r="H57"/>
      <c r="I57"/>
    </row>
    <row r="58" spans="2:12" x14ac:dyDescent="0.2">
      <c r="B58" s="139">
        <v>46114</v>
      </c>
      <c r="C58" s="51">
        <v>7030.41</v>
      </c>
      <c r="D58" s="51"/>
      <c r="E58" s="51"/>
      <c r="F58" s="51">
        <v>7030.41</v>
      </c>
      <c r="G58"/>
      <c r="H58" s="161">
        <v>46082</v>
      </c>
      <c r="I58" s="51">
        <f>SUM( C53:C57 )</f>
        <v>20501.810000000001</v>
      </c>
      <c r="J58" s="49"/>
      <c r="K58" s="51">
        <f>SUM( E53:E57 )</f>
        <v>-485.92000000000047</v>
      </c>
      <c r="L58" s="160">
        <f>K58/I58</f>
        <v>-2.3701321980839761E-2</v>
      </c>
    </row>
    <row r="59" spans="2:12" x14ac:dyDescent="0.2">
      <c r="B59" s="139">
        <v>46116</v>
      </c>
      <c r="C59" s="51">
        <v>983.35</v>
      </c>
      <c r="D59" s="51"/>
      <c r="E59" s="51"/>
      <c r="F59" s="51">
        <v>983.35</v>
      </c>
      <c r="G59"/>
      <c r="H59" s="52" t="s">
        <v>322</v>
      </c>
      <c r="I59" s="51">
        <f>C70</f>
        <v>28465.74</v>
      </c>
      <c r="J59" s="49"/>
      <c r="K59" s="51">
        <f>SUM( E60:E69)</f>
        <v>942.93999999999949</v>
      </c>
      <c r="L59" s="160">
        <f>K59/I59</f>
        <v>3.3125434293996905E-2</v>
      </c>
    </row>
    <row r="60" spans="2:12" x14ac:dyDescent="0.2">
      <c r="B60" s="139">
        <v>46119</v>
      </c>
      <c r="C60" s="51"/>
      <c r="D60" s="51"/>
      <c r="E60" s="51">
        <v>690.3599999999999</v>
      </c>
      <c r="F60" s="51">
        <v>690.3599999999999</v>
      </c>
      <c r="G60"/>
      <c r="H60"/>
      <c r="I60"/>
    </row>
    <row r="61" spans="2:12" x14ac:dyDescent="0.2">
      <c r="B61" s="139">
        <v>46120</v>
      </c>
      <c r="C61" s="51"/>
      <c r="D61" s="51"/>
      <c r="E61" s="51">
        <v>-9.790000000000191</v>
      </c>
      <c r="F61" s="51">
        <v>-9.790000000000191</v>
      </c>
      <c r="G61"/>
      <c r="H61"/>
      <c r="I61"/>
    </row>
    <row r="62" spans="2:12" x14ac:dyDescent="0.2">
      <c r="B62" s="139">
        <v>46121</v>
      </c>
      <c r="C62" s="51"/>
      <c r="D62" s="51"/>
      <c r="E62" s="51">
        <v>-218.9500000000001</v>
      </c>
      <c r="F62" s="51">
        <v>-218.9500000000001</v>
      </c>
      <c r="G62"/>
      <c r="H62"/>
      <c r="I62"/>
    </row>
    <row r="63" spans="2:12" x14ac:dyDescent="0.2">
      <c r="B63" s="139">
        <v>46123</v>
      </c>
      <c r="C63" s="51">
        <v>0.11</v>
      </c>
      <c r="D63" s="51"/>
      <c r="E63" s="51"/>
      <c r="F63" s="51">
        <v>0.11</v>
      </c>
      <c r="G63"/>
      <c r="H63"/>
      <c r="I63"/>
    </row>
    <row r="64" spans="2:12" x14ac:dyDescent="0.2">
      <c r="B64" s="139">
        <v>46126</v>
      </c>
      <c r="C64" s="51"/>
      <c r="D64" s="51"/>
      <c r="E64" s="51">
        <v>70.359999999999786</v>
      </c>
      <c r="F64" s="51">
        <v>70.359999999999786</v>
      </c>
      <c r="G64"/>
      <c r="H64"/>
      <c r="I64"/>
    </row>
    <row r="65" spans="2:9" x14ac:dyDescent="0.2">
      <c r="B65" s="139">
        <v>46127</v>
      </c>
      <c r="C65" s="51"/>
      <c r="D65" s="51"/>
      <c r="E65" s="51">
        <v>-69.580000000000041</v>
      </c>
      <c r="F65" s="51">
        <v>-69.580000000000041</v>
      </c>
      <c r="G65"/>
      <c r="H65"/>
      <c r="I65"/>
    </row>
    <row r="66" spans="2:9" x14ac:dyDescent="0.2">
      <c r="B66" s="139">
        <v>46128</v>
      </c>
      <c r="C66" s="51">
        <v>-50</v>
      </c>
      <c r="D66" s="51"/>
      <c r="E66" s="51"/>
      <c r="F66" s="51">
        <v>-50</v>
      </c>
      <c r="G66"/>
      <c r="H66"/>
      <c r="I66"/>
    </row>
    <row r="67" spans="2:9" x14ac:dyDescent="0.2">
      <c r="B67" s="139">
        <v>46129</v>
      </c>
      <c r="C67" s="51"/>
      <c r="D67" s="51"/>
      <c r="E67" s="51">
        <v>-129.67000000000053</v>
      </c>
      <c r="F67" s="51">
        <v>-129.67000000000053</v>
      </c>
      <c r="G67"/>
      <c r="H67"/>
      <c r="I67"/>
    </row>
    <row r="68" spans="2:9" x14ac:dyDescent="0.2">
      <c r="B68" s="139">
        <v>46130</v>
      </c>
      <c r="C68" s="51">
        <v>0.06</v>
      </c>
      <c r="D68" s="51"/>
      <c r="E68" s="51"/>
      <c r="F68" s="51">
        <v>0.06</v>
      </c>
      <c r="G68"/>
      <c r="H68"/>
      <c r="I68"/>
    </row>
    <row r="69" spans="2:9" x14ac:dyDescent="0.2">
      <c r="B69" s="139">
        <v>46136</v>
      </c>
      <c r="C69" s="51"/>
      <c r="D69" s="51"/>
      <c r="E69" s="51">
        <v>610.21000000000072</v>
      </c>
      <c r="F69" s="51">
        <v>610.21000000000072</v>
      </c>
    </row>
    <row r="70" spans="2:9" x14ac:dyDescent="0.2">
      <c r="B70" s="140" t="s">
        <v>56</v>
      </c>
      <c r="C70" s="51">
        <v>28465.74</v>
      </c>
      <c r="D70" s="51">
        <v>0</v>
      </c>
      <c r="E70" s="51">
        <v>457.01999999999907</v>
      </c>
      <c r="F70" s="51">
        <v>28922.759999999995</v>
      </c>
      <c r="G70" s="159"/>
    </row>
    <row r="71" spans="2:9" x14ac:dyDescent="0.2">
      <c r="B71" s="140"/>
      <c r="C71" s="51"/>
      <c r="D71" s="51"/>
      <c r="E71" s="51"/>
      <c r="F71" s="51"/>
      <c r="G71" s="159"/>
    </row>
  </sheetData>
  <sortState xmlns:xlrd2="http://schemas.microsoft.com/office/spreadsheetml/2017/richdata2" ref="B51:F70">
    <sortCondition ref="B5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5C0D06-81A7-6E41-8118-9FB1E31F59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DAY TRADE</vt:lpstr>
      <vt:lpstr>OPERAÇÕES</vt:lpstr>
      <vt:lpstr>CONCEITOS</vt:lpstr>
      <vt:lpstr>PARÂMETROS</vt:lpstr>
      <vt:lpstr>RESULTADOS</vt:lpstr>
      <vt:lpstr>tastytrade_transactions_history</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 Ribeiro Castellano</dc:creator>
  <cp:lastModifiedBy>Ribeiro Castellano, Ronaldo (Sao Paulo)</cp:lastModifiedBy>
  <dcterms:created xsi:type="dcterms:W3CDTF">2026-03-20T13:31:14Z</dcterms:created>
  <dcterms:modified xsi:type="dcterms:W3CDTF">2026-04-27T18:27:42Z</dcterms:modified>
</cp:coreProperties>
</file>